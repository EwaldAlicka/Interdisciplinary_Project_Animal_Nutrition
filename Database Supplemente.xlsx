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ewald\OneDrive\Desktop\Animal-Nutrition-Project\"/>
    </mc:Choice>
  </mc:AlternateContent>
  <xr:revisionPtr revIDLastSave="0" documentId="13_ncr:1_{8E307289-FFE5-4F7C-A5D4-5C49CFC972B7}" xr6:coauthVersionLast="47" xr6:coauthVersionMax="47" xr10:uidLastSave="{00000000-0000-0000-0000-000000000000}"/>
  <bookViews>
    <workbookView xWindow="-110" yWindow="-110" windowWidth="19420" windowHeight="10300" xr2:uid="{00000000-000D-0000-FFFF-FFFF00000000}"/>
  </bookViews>
  <sheets>
    <sheet name="EFM" sheetId="1" r:id="rId1"/>
    <sheet name="Einzelfuttermittel" sheetId="10"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71" i="10" l="1"/>
  <c r="U17" i="10"/>
  <c r="U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U102" i="10"/>
  <c r="U103" i="10"/>
  <c r="U104" i="10"/>
  <c r="U105" i="10"/>
  <c r="U106" i="10"/>
  <c r="U107" i="10"/>
  <c r="U108" i="10"/>
  <c r="U109" i="10"/>
  <c r="U110" i="10"/>
  <c r="U111" i="10"/>
  <c r="U112" i="10"/>
  <c r="U113" i="10"/>
  <c r="U114" i="10"/>
  <c r="U115" i="10"/>
  <c r="U116" i="10"/>
  <c r="U117" i="10"/>
  <c r="U118" i="10"/>
  <c r="U119" i="10"/>
  <c r="U120" i="10"/>
  <c r="U121" i="10"/>
  <c r="U122" i="10"/>
  <c r="U123" i="10"/>
  <c r="U124" i="10"/>
  <c r="U125" i="10"/>
  <c r="U126" i="10"/>
  <c r="U127" i="10"/>
  <c r="U128" i="10"/>
  <c r="U129" i="10"/>
  <c r="U130" i="10"/>
  <c r="U131" i="10"/>
  <c r="U132" i="10"/>
  <c r="U133" i="10"/>
  <c r="U134" i="10"/>
  <c r="U135" i="10"/>
  <c r="U136" i="10"/>
  <c r="U137" i="10"/>
  <c r="U138" i="10"/>
  <c r="U139" i="10"/>
  <c r="U140" i="10"/>
  <c r="U141" i="10"/>
  <c r="U142" i="10"/>
  <c r="U143" i="10"/>
  <c r="U144" i="10"/>
  <c r="U145" i="10"/>
  <c r="U146" i="10"/>
  <c r="U147" i="10"/>
  <c r="U148" i="10"/>
  <c r="U149" i="10"/>
  <c r="U150" i="10"/>
  <c r="U151" i="10"/>
  <c r="U152" i="10"/>
  <c r="U153" i="10"/>
  <c r="U154" i="10"/>
  <c r="U155" i="10"/>
  <c r="U156" i="10"/>
  <c r="U157" i="10"/>
  <c r="U158" i="10"/>
  <c r="U159" i="10"/>
  <c r="U160" i="10"/>
  <c r="U161" i="10"/>
  <c r="U162" i="10"/>
  <c r="U163" i="10"/>
  <c r="U164" i="10"/>
  <c r="U165" i="10"/>
  <c r="U166" i="10"/>
  <c r="U167" i="10"/>
  <c r="U168" i="10"/>
  <c r="U169" i="10"/>
  <c r="U170" i="10"/>
  <c r="U171" i="10"/>
  <c r="U172" i="10"/>
  <c r="U173" i="10"/>
  <c r="U174" i="10"/>
  <c r="U175" i="10"/>
  <c r="U176" i="10"/>
  <c r="U177" i="10"/>
  <c r="U178" i="10"/>
  <c r="U179" i="10"/>
  <c r="U180" i="10"/>
  <c r="U181" i="10"/>
  <c r="U182" i="10"/>
  <c r="U183" i="10"/>
  <c r="U184" i="10"/>
  <c r="U185" i="10"/>
  <c r="U186" i="10"/>
  <c r="U187" i="10"/>
  <c r="U188" i="10"/>
  <c r="U189" i="10"/>
  <c r="U190" i="10"/>
  <c r="U191" i="10"/>
  <c r="U192" i="10"/>
  <c r="U193" i="10"/>
  <c r="U194" i="10"/>
  <c r="U195" i="10"/>
  <c r="U196" i="10"/>
  <c r="U197" i="10"/>
  <c r="U198" i="10"/>
  <c r="U199" i="10"/>
  <c r="U200" i="10"/>
  <c r="U201" i="10"/>
  <c r="U202" i="10"/>
  <c r="U203" i="10"/>
  <c r="U204" i="10"/>
  <c r="U205" i="10"/>
  <c r="U206" i="10"/>
  <c r="U207" i="10"/>
  <c r="U208" i="10"/>
  <c r="U209" i="10"/>
  <c r="U210" i="10"/>
  <c r="U211" i="10"/>
  <c r="U212" i="10"/>
  <c r="U213" i="10"/>
  <c r="U214" i="10"/>
  <c r="U215" i="10"/>
  <c r="U216" i="10"/>
  <c r="U217" i="10"/>
  <c r="U218" i="10"/>
  <c r="U219" i="10"/>
  <c r="U220" i="10"/>
  <c r="U221" i="10"/>
  <c r="U222" i="10"/>
  <c r="U223" i="10"/>
  <c r="U224" i="10"/>
  <c r="U225" i="10"/>
  <c r="U226" i="10"/>
  <c r="U227" i="10"/>
  <c r="U228" i="10"/>
  <c r="U229" i="10"/>
  <c r="U230" i="10"/>
  <c r="U231" i="10"/>
  <c r="U232" i="10"/>
  <c r="U233" i="10"/>
  <c r="U234" i="10"/>
  <c r="U235" i="10"/>
  <c r="U236" i="10"/>
  <c r="U237" i="10"/>
  <c r="U238" i="10"/>
  <c r="U239" i="10"/>
  <c r="U240" i="10"/>
  <c r="U241" i="10"/>
  <c r="U242" i="10"/>
  <c r="U243" i="10"/>
  <c r="U244" i="10"/>
  <c r="U245" i="10"/>
  <c r="U246" i="10"/>
  <c r="U247" i="10"/>
  <c r="U248" i="10"/>
  <c r="U249" i="10"/>
  <c r="U250" i="10"/>
  <c r="U251" i="10"/>
  <c r="U252" i="10"/>
  <c r="U253" i="10"/>
  <c r="U254" i="10"/>
  <c r="U255" i="10"/>
  <c r="U256" i="10"/>
  <c r="U257" i="10"/>
  <c r="U258" i="10"/>
  <c r="U259" i="10"/>
  <c r="U260" i="10"/>
  <c r="U261" i="10"/>
  <c r="U262" i="10"/>
  <c r="U263" i="10"/>
  <c r="U264" i="10"/>
  <c r="U265" i="10"/>
  <c r="U266" i="10"/>
  <c r="U267" i="10"/>
  <c r="U268" i="10"/>
  <c r="U269" i="10"/>
  <c r="U270" i="10"/>
  <c r="U271" i="10"/>
  <c r="U272" i="10"/>
  <c r="U273" i="10"/>
  <c r="U274" i="10"/>
  <c r="U275" i="10"/>
  <c r="U276" i="10"/>
  <c r="U277" i="10"/>
  <c r="U278" i="10"/>
  <c r="U279" i="10"/>
  <c r="U280" i="10"/>
  <c r="U281" i="10"/>
  <c r="U282" i="10"/>
  <c r="U283" i="10"/>
  <c r="U284" i="10"/>
  <c r="U285" i="10"/>
  <c r="U286" i="10"/>
  <c r="U287" i="10"/>
  <c r="U288" i="10"/>
  <c r="U289" i="10"/>
  <c r="U290" i="10"/>
  <c r="U291" i="10"/>
  <c r="U292" i="10"/>
  <c r="U293" i="10"/>
  <c r="U294" i="10"/>
  <c r="U295" i="10"/>
  <c r="U296" i="10"/>
  <c r="U297" i="10"/>
  <c r="U298" i="10"/>
  <c r="U299" i="10"/>
  <c r="U300" i="10"/>
  <c r="U301" i="10"/>
  <c r="U302" i="10"/>
  <c r="U303" i="10"/>
  <c r="U304" i="10"/>
  <c r="U305" i="10"/>
  <c r="U306" i="10"/>
  <c r="U307" i="10"/>
  <c r="U308" i="10"/>
  <c r="U309" i="10"/>
  <c r="U310" i="10"/>
  <c r="U311" i="10"/>
  <c r="U312" i="10"/>
  <c r="U313" i="10"/>
  <c r="U314" i="10"/>
  <c r="U315" i="10"/>
  <c r="U316" i="10"/>
  <c r="U317" i="10"/>
  <c r="U318" i="10"/>
  <c r="U319" i="10"/>
  <c r="U320" i="10"/>
  <c r="U321" i="10"/>
  <c r="U322" i="10"/>
  <c r="U323" i="10"/>
  <c r="U324" i="10"/>
  <c r="U325" i="10"/>
  <c r="U326" i="10"/>
  <c r="U327" i="10"/>
  <c r="U328" i="10"/>
  <c r="U329" i="10"/>
  <c r="U330" i="10"/>
  <c r="U331" i="10"/>
  <c r="U332" i="10"/>
  <c r="U333" i="10"/>
  <c r="U334" i="10"/>
  <c r="U335" i="10"/>
  <c r="U336" i="10"/>
  <c r="U337" i="10"/>
  <c r="U338" i="10"/>
  <c r="U339" i="10"/>
  <c r="U340" i="10"/>
  <c r="U341" i="10"/>
  <c r="U342" i="10"/>
  <c r="U343" i="10"/>
  <c r="U344" i="10"/>
  <c r="U345" i="10"/>
  <c r="U346" i="10"/>
  <c r="U347" i="10"/>
  <c r="U348" i="10"/>
  <c r="U349" i="10"/>
  <c r="U350" i="10"/>
  <c r="U351" i="10"/>
  <c r="U352" i="10"/>
  <c r="U353" i="10"/>
  <c r="U354" i="10"/>
  <c r="U355" i="10"/>
  <c r="U356" i="10"/>
  <c r="U357" i="10"/>
  <c r="U358" i="10"/>
  <c r="U359" i="10"/>
  <c r="U360" i="10"/>
  <c r="U361" i="10"/>
  <c r="U362" i="10"/>
  <c r="U363" i="10"/>
  <c r="U364" i="10"/>
  <c r="U365" i="10"/>
  <c r="U366" i="10"/>
  <c r="U367" i="10"/>
  <c r="U368" i="10"/>
  <c r="U369" i="10"/>
  <c r="U370" i="10"/>
  <c r="U372" i="10"/>
  <c r="U373" i="10"/>
  <c r="U374" i="10"/>
  <c r="U375" i="10"/>
  <c r="U376" i="10"/>
  <c r="U377" i="10"/>
  <c r="U378" i="10"/>
  <c r="U379" i="10"/>
  <c r="U380" i="10"/>
  <c r="U381" i="10"/>
  <c r="U382" i="10"/>
  <c r="U383" i="10"/>
  <c r="U384" i="10"/>
  <c r="U385" i="10"/>
  <c r="U386" i="10"/>
  <c r="U387" i="10"/>
  <c r="U388" i="10"/>
  <c r="U389" i="10"/>
  <c r="U390" i="10"/>
  <c r="U391" i="10"/>
  <c r="U392" i="10"/>
  <c r="U393" i="10"/>
  <c r="U394" i="10"/>
  <c r="U395" i="10"/>
  <c r="U396" i="10"/>
  <c r="U397" i="10"/>
  <c r="U398" i="10"/>
  <c r="U5" i="10"/>
  <c r="U6" i="10"/>
  <c r="U7" i="10"/>
  <c r="U8" i="10"/>
  <c r="U9" i="10"/>
  <c r="U10" i="10"/>
  <c r="U11" i="10"/>
  <c r="U12" i="10"/>
  <c r="U13" i="10"/>
  <c r="U14" i="10"/>
  <c r="U15" i="10"/>
  <c r="U16" i="10"/>
  <c r="U4" i="10"/>
  <c r="U29" i="1" l="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16" i="1"/>
  <c r="U17" i="1"/>
  <c r="U18" i="1"/>
  <c r="U19" i="1"/>
  <c r="U20" i="1"/>
  <c r="U21" i="1"/>
  <c r="U22" i="1"/>
  <c r="U23" i="1"/>
  <c r="U24" i="1"/>
  <c r="U25" i="1"/>
  <c r="U26" i="1"/>
  <c r="U27" i="1"/>
  <c r="U28" i="1"/>
  <c r="U9" i="1"/>
  <c r="U10" i="1"/>
  <c r="U11" i="1"/>
  <c r="U12" i="1"/>
  <c r="U13" i="1"/>
  <c r="U14" i="1"/>
  <c r="U15" i="1"/>
  <c r="U5" i="1"/>
  <c r="U6" i="1"/>
  <c r="U7" i="1"/>
  <c r="U8" i="1"/>
  <c r="U4" i="1"/>
  <c r="M618" i="1"/>
  <c r="N618" i="1"/>
  <c r="P618" i="1"/>
  <c r="R618" i="1"/>
  <c r="M393" i="10"/>
  <c r="N393" i="10"/>
  <c r="P393" i="10"/>
  <c r="R393" i="10"/>
  <c r="M394" i="10"/>
  <c r="N394" i="10"/>
  <c r="P394" i="10"/>
  <c r="R394" i="10"/>
  <c r="M395" i="10"/>
  <c r="N395" i="10"/>
  <c r="P395" i="10"/>
  <c r="R395" i="10"/>
  <c r="M396" i="10"/>
  <c r="N396" i="10"/>
  <c r="P396" i="10"/>
  <c r="R396" i="10"/>
  <c r="M397" i="10"/>
  <c r="N397" i="10"/>
  <c r="P397" i="10"/>
  <c r="R397" i="10"/>
  <c r="M398" i="10"/>
  <c r="N398" i="10"/>
  <c r="P398" i="10"/>
  <c r="R398" i="10"/>
  <c r="D398" i="10"/>
  <c r="D397" i="10"/>
  <c r="M271" i="1"/>
  <c r="N271" i="1"/>
  <c r="P271" i="1"/>
  <c r="R271" i="1"/>
  <c r="D271" i="1"/>
  <c r="D396" i="10"/>
  <c r="R538" i="1"/>
  <c r="M538" i="1"/>
  <c r="N538" i="1"/>
  <c r="P538" i="1"/>
  <c r="E538" i="1"/>
  <c r="D538" i="1" s="1"/>
  <c r="M537" i="1"/>
  <c r="N537" i="1"/>
  <c r="P537" i="1"/>
  <c r="R537" i="1"/>
  <c r="E537" i="1"/>
  <c r="D537" i="1" s="1"/>
  <c r="D393" i="10"/>
  <c r="D394" i="10"/>
  <c r="D395" i="10"/>
  <c r="D618" i="1"/>
  <c r="M336" i="1"/>
  <c r="N336" i="1"/>
  <c r="P336" i="1"/>
  <c r="R336" i="1"/>
  <c r="D336" i="1"/>
  <c r="M392" i="10"/>
  <c r="N392" i="10"/>
  <c r="P392" i="10"/>
  <c r="R392" i="10"/>
  <c r="D392" i="10"/>
  <c r="M10" i="1"/>
  <c r="N10" i="1"/>
  <c r="P10" i="1"/>
  <c r="R10" i="1"/>
  <c r="D10" i="1"/>
  <c r="M390" i="10"/>
  <c r="N390" i="10"/>
  <c r="P390" i="10"/>
  <c r="R390" i="10"/>
  <c r="M391" i="10"/>
  <c r="N391" i="10"/>
  <c r="P391" i="10"/>
  <c r="R391" i="10"/>
  <c r="M380" i="10"/>
  <c r="N380" i="10"/>
  <c r="P380" i="10"/>
  <c r="R380" i="10"/>
  <c r="M381" i="10"/>
  <c r="N381" i="10"/>
  <c r="P381" i="10"/>
  <c r="R381" i="10"/>
  <c r="M382" i="10"/>
  <c r="N382" i="10"/>
  <c r="P382" i="10"/>
  <c r="R382" i="10"/>
  <c r="M383" i="10"/>
  <c r="N383" i="10"/>
  <c r="P383" i="10"/>
  <c r="R383" i="10"/>
  <c r="M384" i="10"/>
  <c r="N384" i="10"/>
  <c r="P384" i="10"/>
  <c r="R384" i="10"/>
  <c r="AL5" i="1"/>
  <c r="AL6" i="1"/>
  <c r="AL7" i="1"/>
  <c r="AF5" i="1"/>
  <c r="AF6" i="1"/>
  <c r="AF7" i="1"/>
  <c r="M5" i="1"/>
  <c r="N5" i="1"/>
  <c r="P5" i="1"/>
  <c r="R5" i="1"/>
  <c r="D5" i="1"/>
  <c r="M6" i="1"/>
  <c r="N6" i="1"/>
  <c r="P6" i="1"/>
  <c r="R6" i="1"/>
  <c r="M7" i="1"/>
  <c r="N7" i="1"/>
  <c r="P7" i="1"/>
  <c r="R7" i="1"/>
  <c r="D7" i="1"/>
  <c r="D391" i="10"/>
  <c r="D6" i="1"/>
  <c r="D390" i="10"/>
  <c r="M480" i="1"/>
  <c r="N480" i="1"/>
  <c r="P480" i="1"/>
  <c r="R480" i="1"/>
  <c r="P264" i="1"/>
  <c r="P265" i="1"/>
  <c r="P266" i="1"/>
  <c r="P267" i="1"/>
  <c r="P268" i="1"/>
  <c r="P269" i="1"/>
  <c r="P270" i="1"/>
  <c r="P256" i="1"/>
  <c r="P257" i="1"/>
  <c r="P258" i="1"/>
  <c r="P259" i="1"/>
  <c r="P260" i="1"/>
  <c r="R252" i="1"/>
  <c r="P252" i="1"/>
  <c r="P253" i="1"/>
  <c r="P227" i="1"/>
  <c r="N206" i="1"/>
  <c r="N205" i="1"/>
  <c r="P142" i="1"/>
  <c r="P138" i="1"/>
  <c r="P139" i="1"/>
  <c r="P134" i="1"/>
  <c r="R112" i="1"/>
  <c r="R113" i="1"/>
  <c r="R114" i="1"/>
  <c r="R115" i="1"/>
  <c r="P106" i="1"/>
  <c r="P100" i="1"/>
  <c r="P99" i="1"/>
  <c r="P96" i="1"/>
  <c r="P92" i="1"/>
  <c r="P93" i="1"/>
  <c r="P75" i="1"/>
  <c r="P71" i="1"/>
  <c r="P68" i="1"/>
  <c r="N38" i="1"/>
  <c r="N39" i="1"/>
  <c r="N40" i="1"/>
  <c r="M8" i="1"/>
  <c r="N8" i="1"/>
  <c r="P8" i="1"/>
  <c r="R8" i="1"/>
  <c r="R617" i="1"/>
  <c r="N617" i="1"/>
  <c r="M146" i="1"/>
  <c r="N146" i="1"/>
  <c r="P146" i="1"/>
  <c r="R146" i="1"/>
  <c r="AL8" i="1"/>
  <c r="AL9"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151" i="1"/>
  <c r="AF152" i="1"/>
  <c r="AF153" i="1"/>
  <c r="AF154" i="1"/>
  <c r="AF155" i="1"/>
  <c r="AF156" i="1"/>
  <c r="AF157" i="1"/>
  <c r="AF158" i="1"/>
  <c r="AF145" i="1"/>
  <c r="AF146" i="1"/>
  <c r="AF123" i="1"/>
  <c r="AF124" i="1"/>
  <c r="AF125" i="1"/>
  <c r="AF126" i="1"/>
  <c r="AF107" i="1"/>
  <c r="AF108" i="1"/>
  <c r="AF109" i="1"/>
  <c r="AF110" i="1"/>
  <c r="AF111" i="1"/>
  <c r="AF112" i="1"/>
  <c r="AF113" i="1"/>
  <c r="AF114" i="1"/>
  <c r="AF115" i="1"/>
  <c r="AF116" i="1"/>
  <c r="AF98" i="1"/>
  <c r="AF60" i="1"/>
  <c r="AF61" i="1"/>
  <c r="AF62"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 i="1"/>
  <c r="AF8" i="1"/>
  <c r="AF9" i="1"/>
  <c r="AF11" i="1"/>
  <c r="AF12" i="1"/>
  <c r="AF13" i="1"/>
  <c r="AL389" i="10"/>
  <c r="AF389" i="10"/>
  <c r="R389" i="10"/>
  <c r="P389" i="10"/>
  <c r="N389" i="10"/>
  <c r="M389" i="10"/>
  <c r="D389" i="10"/>
  <c r="R388" i="10"/>
  <c r="P388" i="10"/>
  <c r="N388" i="10"/>
  <c r="M388" i="10"/>
  <c r="D388" i="10"/>
  <c r="R387" i="10"/>
  <c r="P387" i="10"/>
  <c r="N387" i="10"/>
  <c r="M387" i="10"/>
  <c r="D387" i="10"/>
  <c r="R386" i="10"/>
  <c r="P386" i="10"/>
  <c r="N386" i="10"/>
  <c r="M386" i="10"/>
  <c r="D386" i="10"/>
  <c r="R385" i="10"/>
  <c r="P385" i="10"/>
  <c r="N385" i="10"/>
  <c r="M385" i="10"/>
  <c r="D385" i="10"/>
  <c r="M617" i="1"/>
  <c r="P617" i="1"/>
  <c r="D617" i="1"/>
  <c r="M525" i="1"/>
  <c r="N525" i="1"/>
  <c r="P525" i="1"/>
  <c r="R525" i="1"/>
  <c r="M526" i="1"/>
  <c r="N526" i="1"/>
  <c r="P526" i="1"/>
  <c r="R526" i="1"/>
  <c r="M527" i="1"/>
  <c r="N527" i="1"/>
  <c r="P527" i="1"/>
  <c r="R527" i="1"/>
  <c r="M528" i="1"/>
  <c r="N528" i="1"/>
  <c r="P528" i="1"/>
  <c r="R528" i="1"/>
  <c r="M529" i="1"/>
  <c r="N529" i="1"/>
  <c r="P529" i="1"/>
  <c r="R529" i="1"/>
  <c r="M530" i="1"/>
  <c r="N530" i="1"/>
  <c r="P530" i="1"/>
  <c r="R530" i="1"/>
  <c r="M531" i="1"/>
  <c r="N531" i="1"/>
  <c r="P531" i="1"/>
  <c r="R531" i="1"/>
  <c r="D531" i="1"/>
  <c r="D530" i="1"/>
  <c r="M115" i="1"/>
  <c r="P115" i="1"/>
  <c r="N115" i="1"/>
  <c r="D115" i="1"/>
  <c r="M114" i="1"/>
  <c r="P114" i="1"/>
  <c r="N114" i="1"/>
  <c r="D114" i="1"/>
  <c r="D146" i="1"/>
  <c r="M113" i="1"/>
  <c r="P113" i="1"/>
  <c r="N113" i="1"/>
  <c r="D113" i="1"/>
  <c r="M168" i="1"/>
  <c r="R168" i="1"/>
  <c r="P168" i="1"/>
  <c r="N168" i="1"/>
  <c r="D168" i="1"/>
  <c r="D529" i="1"/>
  <c r="M270" i="1"/>
  <c r="R270" i="1"/>
  <c r="N270" i="1"/>
  <c r="D270" i="1"/>
  <c r="R269" i="1"/>
  <c r="M269" i="1"/>
  <c r="N269" i="1"/>
  <c r="D269" i="1"/>
  <c r="M612" i="1"/>
  <c r="N612" i="1"/>
  <c r="P612" i="1"/>
  <c r="R612" i="1"/>
  <c r="M613" i="1"/>
  <c r="N613" i="1"/>
  <c r="P613" i="1"/>
  <c r="R613" i="1"/>
  <c r="M614" i="1"/>
  <c r="N614" i="1"/>
  <c r="P614" i="1"/>
  <c r="R614" i="1"/>
  <c r="M615" i="1"/>
  <c r="N615" i="1"/>
  <c r="P615" i="1"/>
  <c r="R615" i="1"/>
  <c r="M616" i="1"/>
  <c r="N616" i="1"/>
  <c r="P616" i="1"/>
  <c r="R616" i="1"/>
  <c r="D616" i="1"/>
  <c r="M569" i="1"/>
  <c r="P569" i="1"/>
  <c r="R569" i="1"/>
  <c r="N569" i="1"/>
  <c r="D569" i="1"/>
  <c r="M268" i="1"/>
  <c r="N268" i="1"/>
  <c r="R268" i="1"/>
  <c r="D268" i="1"/>
  <c r="D8" i="1"/>
  <c r="M568" i="1"/>
  <c r="P568" i="1"/>
  <c r="R568" i="1"/>
  <c r="N568" i="1"/>
  <c r="D568" i="1"/>
  <c r="M567" i="1"/>
  <c r="P567" i="1"/>
  <c r="R567" i="1"/>
  <c r="N567" i="1"/>
  <c r="D567" i="1"/>
  <c r="D526" i="1"/>
  <c r="D527" i="1"/>
  <c r="D528" i="1"/>
  <c r="M267" i="1"/>
  <c r="R267" i="1"/>
  <c r="N267" i="1"/>
  <c r="D267" i="1"/>
  <c r="M266" i="1"/>
  <c r="N266" i="1"/>
  <c r="R266" i="1"/>
  <c r="D266" i="1"/>
  <c r="M524" i="1"/>
  <c r="P524" i="1"/>
  <c r="R524" i="1"/>
  <c r="N524" i="1"/>
  <c r="D525" i="1"/>
  <c r="M16" i="1"/>
  <c r="P16" i="1"/>
  <c r="R16" i="1"/>
  <c r="N16" i="1"/>
  <c r="D16" i="1"/>
  <c r="R17" i="1"/>
  <c r="N17" i="1"/>
  <c r="P17" i="1"/>
  <c r="M17" i="1"/>
  <c r="D17" i="1"/>
  <c r="M9" i="1"/>
  <c r="N9" i="1"/>
  <c r="P9" i="1"/>
  <c r="R9" i="1"/>
  <c r="D9" i="1"/>
  <c r="M273" i="1"/>
  <c r="N273" i="1"/>
  <c r="P273" i="1"/>
  <c r="R273" i="1"/>
  <c r="M274" i="1"/>
  <c r="N274" i="1"/>
  <c r="P274" i="1"/>
  <c r="R274" i="1"/>
  <c r="D273" i="1"/>
  <c r="M112" i="1"/>
  <c r="P112" i="1"/>
  <c r="N112" i="1"/>
  <c r="D112" i="1"/>
  <c r="D274" i="1"/>
  <c r="R167" i="1"/>
  <c r="P167" i="1"/>
  <c r="M167" i="1"/>
  <c r="N167" i="1"/>
  <c r="D167" i="1"/>
  <c r="R523" i="1"/>
  <c r="P523" i="1"/>
  <c r="M523" i="1"/>
  <c r="N523" i="1"/>
  <c r="D524" i="1"/>
  <c r="M11" i="1"/>
  <c r="N11" i="1"/>
  <c r="P11" i="1"/>
  <c r="R11" i="1"/>
  <c r="M12" i="1"/>
  <c r="N12" i="1"/>
  <c r="P12" i="1"/>
  <c r="R12" i="1"/>
  <c r="D11" i="1"/>
  <c r="M265" i="1"/>
  <c r="N265" i="1"/>
  <c r="R265" i="1"/>
  <c r="D265" i="1"/>
  <c r="D12" i="1"/>
  <c r="D384" i="10"/>
  <c r="M110" i="1"/>
  <c r="N110" i="1"/>
  <c r="P110" i="1"/>
  <c r="R110" i="1"/>
  <c r="M111" i="1"/>
  <c r="N111" i="1"/>
  <c r="P111" i="1"/>
  <c r="R111" i="1"/>
  <c r="D111" i="1"/>
  <c r="D383" i="10"/>
  <c r="D382" i="10"/>
  <c r="D381" i="10"/>
  <c r="D615" i="1"/>
  <c r="M547" i="1"/>
  <c r="R547" i="1"/>
  <c r="P547" i="1"/>
  <c r="N547" i="1"/>
  <c r="D547" i="1"/>
  <c r="R522" i="1"/>
  <c r="P522" i="1"/>
  <c r="N522" i="1"/>
  <c r="M522" i="1"/>
  <c r="D523" i="1"/>
  <c r="D380" i="10"/>
  <c r="R546" i="1"/>
  <c r="N546" i="1"/>
  <c r="P546" i="1"/>
  <c r="M546" i="1"/>
  <c r="D546" i="1"/>
  <c r="M372" i="10"/>
  <c r="N372" i="10"/>
  <c r="P372" i="10"/>
  <c r="R372" i="10"/>
  <c r="M373" i="10"/>
  <c r="N373" i="10"/>
  <c r="P373" i="10"/>
  <c r="R373" i="10"/>
  <c r="M374" i="10"/>
  <c r="N374" i="10"/>
  <c r="P374" i="10"/>
  <c r="R374" i="10"/>
  <c r="M375" i="10"/>
  <c r="N375" i="10"/>
  <c r="P375" i="10"/>
  <c r="R375" i="10"/>
  <c r="M376" i="10"/>
  <c r="N376" i="10"/>
  <c r="P376" i="10"/>
  <c r="R376" i="10"/>
  <c r="M377" i="10"/>
  <c r="N377" i="10"/>
  <c r="P377" i="10"/>
  <c r="R377" i="10"/>
  <c r="M378" i="10"/>
  <c r="N378" i="10"/>
  <c r="P378" i="10"/>
  <c r="R378" i="10"/>
  <c r="M379" i="10"/>
  <c r="N379" i="10"/>
  <c r="P379" i="10"/>
  <c r="R379" i="10"/>
  <c r="D379" i="10"/>
  <c r="M521" i="1"/>
  <c r="R521" i="1"/>
  <c r="P521" i="1"/>
  <c r="N521" i="1"/>
  <c r="R520" i="1"/>
  <c r="P520" i="1"/>
  <c r="M520" i="1"/>
  <c r="N520" i="1"/>
  <c r="D520" i="1"/>
  <c r="D521" i="1"/>
  <c r="D522" i="1"/>
  <c r="N507" i="1"/>
  <c r="N508" i="1"/>
  <c r="N509" i="1"/>
  <c r="N510" i="1"/>
  <c r="N511" i="1"/>
  <c r="N512" i="1"/>
  <c r="N513" i="1"/>
  <c r="N514" i="1"/>
  <c r="N515" i="1"/>
  <c r="N516" i="1"/>
  <c r="N517" i="1"/>
  <c r="N518" i="1"/>
  <c r="N519" i="1"/>
  <c r="M517" i="1"/>
  <c r="P517" i="1"/>
  <c r="R517" i="1"/>
  <c r="M518" i="1"/>
  <c r="P518" i="1"/>
  <c r="R518" i="1"/>
  <c r="M519" i="1"/>
  <c r="P519" i="1"/>
  <c r="R519" i="1"/>
  <c r="D519" i="1"/>
  <c r="D518" i="1"/>
  <c r="D517" i="1"/>
  <c r="D378" i="10"/>
  <c r="D377" i="10"/>
  <c r="D376" i="10"/>
  <c r="M516" i="1"/>
  <c r="P516" i="1"/>
  <c r="R516" i="1"/>
  <c r="D516" i="1"/>
  <c r="R515" i="1"/>
  <c r="M515" i="1"/>
  <c r="P515" i="1"/>
  <c r="D515" i="1"/>
  <c r="D375" i="10"/>
  <c r="M514" i="1"/>
  <c r="P514" i="1"/>
  <c r="R514" i="1"/>
  <c r="D514" i="1"/>
  <c r="D513" i="1"/>
  <c r="M513" i="1"/>
  <c r="R513" i="1"/>
  <c r="P513" i="1"/>
  <c r="D611" i="1" l="1"/>
  <c r="M512" i="1"/>
  <c r="R512" i="1"/>
  <c r="P512" i="1"/>
  <c r="D512" i="1"/>
  <c r="D374" i="10"/>
  <c r="M511" i="1"/>
  <c r="R511" i="1"/>
  <c r="P511" i="1"/>
  <c r="D510" i="1"/>
  <c r="D511" i="1"/>
  <c r="M510" i="1"/>
  <c r="R510" i="1"/>
  <c r="P510" i="1"/>
  <c r="D373" i="10"/>
  <c r="D372" i="10"/>
  <c r="M509" i="1"/>
  <c r="R509" i="1"/>
  <c r="P509" i="1"/>
  <c r="D509" i="1"/>
  <c r="M508" i="1"/>
  <c r="P508" i="1"/>
  <c r="R508" i="1"/>
  <c r="D508" i="1"/>
  <c r="D614" i="1"/>
  <c r="M365" i="10"/>
  <c r="N365" i="10"/>
  <c r="P365" i="10"/>
  <c r="R365" i="10"/>
  <c r="M366" i="10"/>
  <c r="N366" i="10"/>
  <c r="P366" i="10"/>
  <c r="R366" i="10"/>
  <c r="M367" i="10"/>
  <c r="N367" i="10"/>
  <c r="P367" i="10"/>
  <c r="R367" i="10"/>
  <c r="M368" i="10"/>
  <c r="N368" i="10"/>
  <c r="P368" i="10"/>
  <c r="R368" i="10"/>
  <c r="M369" i="10"/>
  <c r="N369" i="10"/>
  <c r="P369" i="10"/>
  <c r="R369" i="10"/>
  <c r="M370" i="10"/>
  <c r="N370" i="10"/>
  <c r="P370" i="10"/>
  <c r="R370" i="10"/>
  <c r="M371" i="10"/>
  <c r="N371" i="10"/>
  <c r="P371" i="10"/>
  <c r="R371" i="10"/>
  <c r="D371" i="10"/>
  <c r="M507" i="1"/>
  <c r="R507" i="1"/>
  <c r="P507" i="1"/>
  <c r="D507" i="1"/>
  <c r="M506" i="1"/>
  <c r="R506" i="1"/>
  <c r="P506" i="1"/>
  <c r="N506" i="1"/>
  <c r="D506" i="1"/>
  <c r="R125" i="1"/>
  <c r="P125" i="1"/>
  <c r="N125" i="1"/>
  <c r="M125" i="1"/>
  <c r="D125" i="1"/>
  <c r="D613" i="1"/>
  <c r="M505" i="1"/>
  <c r="R505" i="1"/>
  <c r="P505" i="1"/>
  <c r="N505" i="1"/>
  <c r="D505" i="1"/>
  <c r="M504" i="1"/>
  <c r="P504" i="1"/>
  <c r="R504" i="1"/>
  <c r="N504" i="1"/>
  <c r="D504" i="1"/>
  <c r="M502" i="1"/>
  <c r="N502" i="1"/>
  <c r="P502" i="1"/>
  <c r="R502" i="1"/>
  <c r="M503" i="1"/>
  <c r="N503" i="1"/>
  <c r="P503" i="1"/>
  <c r="R503" i="1"/>
  <c r="D503" i="1"/>
  <c r="D612" i="1"/>
  <c r="D369" i="10"/>
  <c r="D370" i="10"/>
  <c r="D368" i="10"/>
  <c r="D502" i="1"/>
  <c r="M124" i="1"/>
  <c r="R124" i="1"/>
  <c r="P124" i="1"/>
  <c r="N124" i="1"/>
  <c r="D124" i="1"/>
  <c r="D110" i="1"/>
  <c r="R501" i="1"/>
  <c r="P501" i="1"/>
  <c r="N501" i="1"/>
  <c r="M501" i="1"/>
  <c r="D501" i="1"/>
  <c r="M500" i="1"/>
  <c r="R500" i="1"/>
  <c r="P500" i="1"/>
  <c r="N500" i="1"/>
  <c r="D500" i="1"/>
  <c r="M566" i="1"/>
  <c r="R566" i="1"/>
  <c r="P566" i="1"/>
  <c r="N566" i="1"/>
  <c r="D566" i="1"/>
  <c r="M166" i="1"/>
  <c r="R166" i="1"/>
  <c r="P166" i="1"/>
  <c r="N166" i="1"/>
  <c r="D166" i="1"/>
  <c r="M499" i="1"/>
  <c r="R499" i="1"/>
  <c r="P499" i="1"/>
  <c r="N499" i="1"/>
  <c r="D498" i="1"/>
  <c r="D499" i="1"/>
  <c r="D365" i="10"/>
  <c r="D366" i="10"/>
  <c r="D367" i="10"/>
  <c r="M565" i="1"/>
  <c r="R565" i="1"/>
  <c r="P565" i="1"/>
  <c r="N565" i="1"/>
  <c r="D565" i="1"/>
  <c r="M498" i="1"/>
  <c r="R498" i="1"/>
  <c r="P498" i="1"/>
  <c r="N498" i="1"/>
  <c r="M497" i="1"/>
  <c r="R497" i="1"/>
  <c r="P497" i="1"/>
  <c r="N497" i="1"/>
  <c r="D497" i="1"/>
  <c r="M165" i="1"/>
  <c r="P165" i="1"/>
  <c r="R165" i="1"/>
  <c r="N165" i="1"/>
  <c r="D165" i="1"/>
  <c r="E571" i="1"/>
  <c r="D571" i="1" s="1"/>
  <c r="M571" i="1"/>
  <c r="N571" i="1"/>
  <c r="P571" i="1"/>
  <c r="R571" i="1"/>
  <c r="E572" i="1"/>
  <c r="D572" i="1" s="1"/>
  <c r="M572" i="1"/>
  <c r="N572" i="1"/>
  <c r="P572" i="1"/>
  <c r="R572" i="1"/>
  <c r="E573" i="1"/>
  <c r="D573" i="1" s="1"/>
  <c r="M573" i="1"/>
  <c r="N573" i="1"/>
  <c r="P573" i="1"/>
  <c r="R573" i="1"/>
  <c r="E532" i="1"/>
  <c r="D532" i="1" s="1"/>
  <c r="M532" i="1"/>
  <c r="N532" i="1"/>
  <c r="P532" i="1"/>
  <c r="R532" i="1"/>
  <c r="E533" i="1"/>
  <c r="D533" i="1" s="1"/>
  <c r="M533" i="1"/>
  <c r="N533" i="1"/>
  <c r="P533" i="1"/>
  <c r="R533" i="1"/>
  <c r="E534" i="1"/>
  <c r="D534" i="1" s="1"/>
  <c r="M534" i="1"/>
  <c r="N534" i="1"/>
  <c r="P534" i="1"/>
  <c r="R534" i="1"/>
  <c r="E535" i="1"/>
  <c r="D535" i="1" s="1"/>
  <c r="M535" i="1"/>
  <c r="N535" i="1"/>
  <c r="P535" i="1"/>
  <c r="R535" i="1"/>
  <c r="E536" i="1"/>
  <c r="D536" i="1" s="1"/>
  <c r="M536" i="1"/>
  <c r="N536" i="1"/>
  <c r="P536" i="1"/>
  <c r="R536" i="1"/>
  <c r="E574" i="1"/>
  <c r="D574" i="1" s="1"/>
  <c r="M574" i="1"/>
  <c r="N574" i="1"/>
  <c r="P574" i="1"/>
  <c r="R574" i="1"/>
  <c r="E575" i="1"/>
  <c r="D575" i="1" s="1"/>
  <c r="M575" i="1"/>
  <c r="N575" i="1"/>
  <c r="P575" i="1"/>
  <c r="R575" i="1"/>
  <c r="E576" i="1"/>
  <c r="D576" i="1" s="1"/>
  <c r="M576" i="1"/>
  <c r="N576" i="1"/>
  <c r="P576" i="1"/>
  <c r="R576" i="1"/>
  <c r="E577" i="1"/>
  <c r="D577" i="1" s="1"/>
  <c r="M577" i="1"/>
  <c r="N577" i="1"/>
  <c r="P577" i="1"/>
  <c r="R577" i="1"/>
  <c r="E578" i="1"/>
  <c r="D578" i="1" s="1"/>
  <c r="M578" i="1"/>
  <c r="N578" i="1"/>
  <c r="P578" i="1"/>
  <c r="R578" i="1"/>
  <c r="E579" i="1"/>
  <c r="D579" i="1" s="1"/>
  <c r="M579" i="1"/>
  <c r="N579" i="1"/>
  <c r="P579" i="1"/>
  <c r="R579" i="1"/>
  <c r="E580" i="1"/>
  <c r="D580" i="1" s="1"/>
  <c r="M580" i="1"/>
  <c r="N580" i="1"/>
  <c r="P580" i="1"/>
  <c r="R580" i="1"/>
  <c r="E581" i="1"/>
  <c r="D581" i="1" s="1"/>
  <c r="M581" i="1"/>
  <c r="N581" i="1"/>
  <c r="P581" i="1"/>
  <c r="R581" i="1"/>
  <c r="E582" i="1"/>
  <c r="D582" i="1" s="1"/>
  <c r="M582" i="1"/>
  <c r="N582" i="1"/>
  <c r="P582" i="1"/>
  <c r="R582" i="1"/>
  <c r="E583" i="1"/>
  <c r="D583" i="1" s="1"/>
  <c r="M583" i="1"/>
  <c r="N583" i="1"/>
  <c r="P583" i="1"/>
  <c r="R583" i="1"/>
  <c r="E584" i="1"/>
  <c r="D584" i="1" s="1"/>
  <c r="M584" i="1"/>
  <c r="N584" i="1"/>
  <c r="P584" i="1"/>
  <c r="R584" i="1"/>
  <c r="E585" i="1"/>
  <c r="D585" i="1" s="1"/>
  <c r="M585" i="1"/>
  <c r="N585" i="1"/>
  <c r="P585" i="1"/>
  <c r="R585" i="1"/>
  <c r="E586" i="1"/>
  <c r="D586" i="1" s="1"/>
  <c r="M586" i="1"/>
  <c r="N586" i="1"/>
  <c r="P586" i="1"/>
  <c r="R586" i="1"/>
  <c r="E587" i="1"/>
  <c r="D587" i="1" s="1"/>
  <c r="M587" i="1"/>
  <c r="N587" i="1"/>
  <c r="P587" i="1"/>
  <c r="R587" i="1"/>
  <c r="E588" i="1"/>
  <c r="D588" i="1" s="1"/>
  <c r="M588" i="1"/>
  <c r="N588" i="1"/>
  <c r="P588" i="1"/>
  <c r="R588" i="1"/>
  <c r="E589" i="1"/>
  <c r="D589" i="1" s="1"/>
  <c r="M589" i="1"/>
  <c r="N589" i="1"/>
  <c r="P589" i="1"/>
  <c r="R589" i="1"/>
  <c r="E590" i="1"/>
  <c r="D590" i="1" s="1"/>
  <c r="M590" i="1"/>
  <c r="N590" i="1"/>
  <c r="P590" i="1"/>
  <c r="R590" i="1"/>
  <c r="E591" i="1"/>
  <c r="D591" i="1" s="1"/>
  <c r="M591" i="1"/>
  <c r="N591" i="1"/>
  <c r="P591" i="1"/>
  <c r="R591" i="1"/>
  <c r="E592" i="1"/>
  <c r="D592" i="1" s="1"/>
  <c r="M592" i="1"/>
  <c r="N592" i="1"/>
  <c r="P592" i="1"/>
  <c r="R592" i="1"/>
  <c r="E593" i="1"/>
  <c r="D593" i="1" s="1"/>
  <c r="M593" i="1"/>
  <c r="N593" i="1"/>
  <c r="P593" i="1"/>
  <c r="R593" i="1"/>
  <c r="E594" i="1"/>
  <c r="D594" i="1" s="1"/>
  <c r="M594" i="1"/>
  <c r="N594" i="1"/>
  <c r="P594" i="1"/>
  <c r="R594" i="1"/>
  <c r="E595" i="1"/>
  <c r="D595" i="1" s="1"/>
  <c r="M595" i="1"/>
  <c r="N595" i="1"/>
  <c r="P595" i="1"/>
  <c r="R595" i="1"/>
  <c r="E596" i="1"/>
  <c r="D596" i="1" s="1"/>
  <c r="M596" i="1"/>
  <c r="N596" i="1"/>
  <c r="P596" i="1"/>
  <c r="R596" i="1"/>
  <c r="E597" i="1"/>
  <c r="D597" i="1" s="1"/>
  <c r="M597" i="1"/>
  <c r="N597" i="1"/>
  <c r="P597" i="1"/>
  <c r="R597" i="1"/>
  <c r="E598" i="1"/>
  <c r="D598" i="1" s="1"/>
  <c r="M598" i="1"/>
  <c r="N598" i="1"/>
  <c r="P598" i="1"/>
  <c r="R598" i="1"/>
  <c r="E599" i="1"/>
  <c r="D599" i="1" s="1"/>
  <c r="M599" i="1"/>
  <c r="N599" i="1"/>
  <c r="P599" i="1"/>
  <c r="R599" i="1"/>
  <c r="E600" i="1"/>
  <c r="D600" i="1" s="1"/>
  <c r="M600" i="1"/>
  <c r="N600" i="1"/>
  <c r="P600" i="1"/>
  <c r="R600" i="1"/>
  <c r="E601" i="1"/>
  <c r="D601" i="1" s="1"/>
  <c r="M601" i="1"/>
  <c r="N601" i="1"/>
  <c r="P601" i="1"/>
  <c r="R601" i="1"/>
  <c r="E602" i="1"/>
  <c r="D602" i="1" s="1"/>
  <c r="M602" i="1"/>
  <c r="N602" i="1"/>
  <c r="P602" i="1"/>
  <c r="R602" i="1"/>
  <c r="E603" i="1"/>
  <c r="D603" i="1" s="1"/>
  <c r="M603" i="1"/>
  <c r="N603" i="1"/>
  <c r="P603" i="1"/>
  <c r="R603" i="1"/>
  <c r="E604" i="1"/>
  <c r="D604" i="1" s="1"/>
  <c r="M604" i="1"/>
  <c r="N604" i="1"/>
  <c r="P604" i="1"/>
  <c r="R604" i="1"/>
  <c r="E605" i="1"/>
  <c r="D605" i="1" s="1"/>
  <c r="M605" i="1"/>
  <c r="N605" i="1"/>
  <c r="P605" i="1"/>
  <c r="R605" i="1"/>
  <c r="E606" i="1"/>
  <c r="D606" i="1" s="1"/>
  <c r="M606" i="1"/>
  <c r="N606" i="1"/>
  <c r="P606" i="1"/>
  <c r="R606" i="1"/>
  <c r="E607" i="1"/>
  <c r="D607" i="1" s="1"/>
  <c r="M607" i="1"/>
  <c r="N607" i="1"/>
  <c r="P607" i="1"/>
  <c r="R607" i="1"/>
  <c r="E608" i="1"/>
  <c r="D608" i="1" s="1"/>
  <c r="M608" i="1"/>
  <c r="N608" i="1"/>
  <c r="P608" i="1"/>
  <c r="R608" i="1"/>
  <c r="E609" i="1"/>
  <c r="D609" i="1" s="1"/>
  <c r="M609" i="1"/>
  <c r="N609" i="1"/>
  <c r="P609" i="1"/>
  <c r="R609" i="1"/>
  <c r="E610" i="1"/>
  <c r="D610" i="1" s="1"/>
  <c r="M610" i="1"/>
  <c r="N610" i="1"/>
  <c r="P610" i="1"/>
  <c r="R610" i="1"/>
  <c r="M611" i="1"/>
  <c r="N611" i="1"/>
  <c r="P611" i="1"/>
  <c r="R611" i="1"/>
  <c r="M550" i="1"/>
  <c r="N550" i="1"/>
  <c r="P550" i="1"/>
  <c r="R550" i="1"/>
  <c r="M551" i="1"/>
  <c r="N551" i="1"/>
  <c r="P551" i="1"/>
  <c r="R551" i="1"/>
  <c r="M552" i="1"/>
  <c r="N552" i="1"/>
  <c r="P552" i="1"/>
  <c r="R552" i="1"/>
  <c r="M553" i="1"/>
  <c r="N553" i="1"/>
  <c r="P553" i="1"/>
  <c r="R553" i="1"/>
  <c r="M554" i="1"/>
  <c r="N554" i="1"/>
  <c r="P554" i="1"/>
  <c r="R554" i="1"/>
  <c r="M555" i="1"/>
  <c r="N555" i="1"/>
  <c r="P555" i="1"/>
  <c r="R555" i="1"/>
  <c r="M556" i="1"/>
  <c r="N556" i="1"/>
  <c r="P556" i="1"/>
  <c r="R556" i="1"/>
  <c r="M557" i="1"/>
  <c r="N557" i="1"/>
  <c r="P557" i="1"/>
  <c r="R557" i="1"/>
  <c r="M558" i="1"/>
  <c r="N558" i="1"/>
  <c r="P558" i="1"/>
  <c r="R558" i="1"/>
  <c r="M559" i="1"/>
  <c r="N559" i="1"/>
  <c r="P559" i="1"/>
  <c r="R559" i="1"/>
  <c r="M560" i="1"/>
  <c r="N560" i="1"/>
  <c r="P560" i="1"/>
  <c r="R560" i="1"/>
  <c r="M561" i="1"/>
  <c r="N561" i="1"/>
  <c r="P561" i="1"/>
  <c r="R561" i="1"/>
  <c r="M562" i="1"/>
  <c r="N562" i="1"/>
  <c r="P562" i="1"/>
  <c r="R562" i="1"/>
  <c r="M563" i="1"/>
  <c r="N563" i="1"/>
  <c r="P563" i="1"/>
  <c r="R563" i="1"/>
  <c r="M564" i="1"/>
  <c r="N564" i="1"/>
  <c r="P564" i="1"/>
  <c r="R564" i="1"/>
  <c r="M549" i="1"/>
  <c r="N549" i="1"/>
  <c r="P549" i="1"/>
  <c r="R549" i="1"/>
  <c r="M540" i="1"/>
  <c r="N540" i="1"/>
  <c r="P540" i="1"/>
  <c r="R540" i="1"/>
  <c r="M541" i="1"/>
  <c r="N541" i="1"/>
  <c r="P541" i="1"/>
  <c r="R541" i="1"/>
  <c r="M542" i="1"/>
  <c r="N542" i="1"/>
  <c r="P542" i="1"/>
  <c r="R542" i="1"/>
  <c r="M543" i="1"/>
  <c r="N543" i="1"/>
  <c r="P543" i="1"/>
  <c r="R543" i="1"/>
  <c r="M544" i="1"/>
  <c r="N544" i="1"/>
  <c r="P544" i="1"/>
  <c r="R544" i="1"/>
  <c r="M545" i="1"/>
  <c r="N545" i="1"/>
  <c r="P545" i="1"/>
  <c r="R545" i="1"/>
  <c r="D549" i="1"/>
  <c r="D550" i="1"/>
  <c r="D551" i="1"/>
  <c r="D552" i="1"/>
  <c r="D553" i="1"/>
  <c r="D554" i="1"/>
  <c r="D555" i="1"/>
  <c r="D556" i="1"/>
  <c r="D557" i="1"/>
  <c r="D558" i="1"/>
  <c r="D559" i="1"/>
  <c r="D560" i="1"/>
  <c r="D561" i="1"/>
  <c r="D562" i="1"/>
  <c r="D563" i="1"/>
  <c r="D564" i="1"/>
  <c r="D540" i="1"/>
  <c r="D541" i="1"/>
  <c r="D542" i="1"/>
  <c r="D543" i="1"/>
  <c r="D544" i="1"/>
  <c r="D545" i="1"/>
  <c r="D275" i="1"/>
  <c r="M275" i="1"/>
  <c r="N275" i="1"/>
  <c r="P275" i="1"/>
  <c r="R275" i="1"/>
  <c r="D276" i="1"/>
  <c r="M276" i="1"/>
  <c r="N276" i="1"/>
  <c r="P276" i="1"/>
  <c r="R276" i="1"/>
  <c r="D277" i="1"/>
  <c r="M277" i="1"/>
  <c r="N277" i="1"/>
  <c r="P277" i="1"/>
  <c r="R277" i="1"/>
  <c r="D278" i="1"/>
  <c r="M278" i="1"/>
  <c r="N278" i="1"/>
  <c r="P278" i="1"/>
  <c r="R278" i="1"/>
  <c r="D279" i="1"/>
  <c r="M279" i="1"/>
  <c r="N279" i="1"/>
  <c r="P279" i="1"/>
  <c r="R279" i="1"/>
  <c r="D280" i="1"/>
  <c r="M280" i="1"/>
  <c r="N280" i="1"/>
  <c r="P280" i="1"/>
  <c r="R280" i="1"/>
  <c r="D281" i="1"/>
  <c r="M281" i="1"/>
  <c r="N281" i="1"/>
  <c r="P281" i="1"/>
  <c r="R281" i="1"/>
  <c r="D282" i="1"/>
  <c r="M282" i="1"/>
  <c r="N282" i="1"/>
  <c r="P282" i="1"/>
  <c r="R282" i="1"/>
  <c r="D283" i="1"/>
  <c r="M283" i="1"/>
  <c r="N283" i="1"/>
  <c r="P283" i="1"/>
  <c r="R283" i="1"/>
  <c r="D284" i="1"/>
  <c r="M284" i="1"/>
  <c r="N284" i="1"/>
  <c r="P284" i="1"/>
  <c r="R284" i="1"/>
  <c r="D285" i="1"/>
  <c r="M285" i="1"/>
  <c r="N285" i="1"/>
  <c r="P285" i="1"/>
  <c r="R285" i="1"/>
  <c r="D286" i="1"/>
  <c r="M286" i="1"/>
  <c r="N286" i="1"/>
  <c r="P286" i="1"/>
  <c r="R286" i="1"/>
  <c r="D287" i="1"/>
  <c r="M287" i="1"/>
  <c r="N287" i="1"/>
  <c r="P287" i="1"/>
  <c r="R287" i="1"/>
  <c r="D288" i="1"/>
  <c r="M288" i="1"/>
  <c r="N288" i="1"/>
  <c r="P288" i="1"/>
  <c r="R288" i="1"/>
  <c r="D289" i="1"/>
  <c r="M289" i="1"/>
  <c r="N289" i="1"/>
  <c r="P289" i="1"/>
  <c r="R289" i="1"/>
  <c r="D290" i="1"/>
  <c r="M290" i="1"/>
  <c r="N290" i="1"/>
  <c r="P290" i="1"/>
  <c r="R290" i="1"/>
  <c r="BJ290" i="1"/>
  <c r="D291" i="1"/>
  <c r="M291" i="1"/>
  <c r="N291" i="1"/>
  <c r="P291" i="1"/>
  <c r="R291" i="1"/>
  <c r="D109" i="1"/>
  <c r="M109" i="1"/>
  <c r="N109" i="1"/>
  <c r="P109" i="1"/>
  <c r="R109" i="1"/>
  <c r="D292" i="1"/>
  <c r="M292" i="1"/>
  <c r="N292" i="1"/>
  <c r="P292" i="1"/>
  <c r="R292" i="1"/>
  <c r="D107" i="1"/>
  <c r="M107" i="1"/>
  <c r="N107" i="1"/>
  <c r="P107" i="1"/>
  <c r="R107" i="1"/>
  <c r="D108" i="1"/>
  <c r="M108" i="1"/>
  <c r="N108" i="1"/>
  <c r="P108" i="1"/>
  <c r="R108" i="1"/>
  <c r="D293" i="1"/>
  <c r="M293" i="1"/>
  <c r="N293" i="1"/>
  <c r="P293" i="1"/>
  <c r="R293" i="1"/>
  <c r="D164" i="1"/>
  <c r="M164" i="1"/>
  <c r="N164" i="1"/>
  <c r="P164" i="1"/>
  <c r="R164" i="1"/>
  <c r="D294" i="1"/>
  <c r="M294" i="1"/>
  <c r="N294" i="1"/>
  <c r="P294" i="1"/>
  <c r="R294" i="1"/>
  <c r="D295" i="1"/>
  <c r="M295" i="1"/>
  <c r="N295" i="1"/>
  <c r="P295" i="1"/>
  <c r="R295" i="1"/>
  <c r="D296" i="1"/>
  <c r="M296" i="1"/>
  <c r="N296" i="1"/>
  <c r="P296" i="1"/>
  <c r="R296" i="1"/>
  <c r="D297" i="1"/>
  <c r="M297" i="1"/>
  <c r="N297" i="1"/>
  <c r="P297" i="1"/>
  <c r="R297" i="1"/>
  <c r="D170" i="1"/>
  <c r="M170" i="1"/>
  <c r="N170" i="1"/>
  <c r="P170" i="1"/>
  <c r="R170" i="1"/>
  <c r="D298" i="1"/>
  <c r="M298" i="1"/>
  <c r="N298" i="1"/>
  <c r="P298" i="1"/>
  <c r="R298" i="1"/>
  <c r="D299" i="1"/>
  <c r="M299" i="1"/>
  <c r="N299" i="1"/>
  <c r="P299" i="1"/>
  <c r="R299" i="1"/>
  <c r="D300" i="1"/>
  <c r="M300" i="1"/>
  <c r="N300" i="1"/>
  <c r="P300" i="1"/>
  <c r="R300" i="1"/>
  <c r="D301" i="1"/>
  <c r="M301" i="1"/>
  <c r="N301" i="1"/>
  <c r="P301" i="1"/>
  <c r="R301" i="1"/>
  <c r="D302" i="1"/>
  <c r="M302" i="1"/>
  <c r="N302" i="1"/>
  <c r="P302" i="1"/>
  <c r="R302" i="1"/>
  <c r="D303" i="1"/>
  <c r="M303" i="1"/>
  <c r="N303" i="1"/>
  <c r="P303" i="1"/>
  <c r="R303" i="1"/>
  <c r="D304" i="1"/>
  <c r="M304" i="1"/>
  <c r="N304" i="1"/>
  <c r="P304" i="1"/>
  <c r="R304" i="1"/>
  <c r="D305" i="1"/>
  <c r="M305" i="1"/>
  <c r="N305" i="1"/>
  <c r="P305" i="1"/>
  <c r="R305" i="1"/>
  <c r="D306" i="1"/>
  <c r="M306" i="1"/>
  <c r="N306" i="1"/>
  <c r="P306" i="1"/>
  <c r="R306" i="1"/>
  <c r="D307" i="1"/>
  <c r="M307" i="1"/>
  <c r="N307" i="1"/>
  <c r="P307" i="1"/>
  <c r="R307" i="1"/>
  <c r="D308" i="1"/>
  <c r="M308" i="1"/>
  <c r="N308" i="1"/>
  <c r="P308" i="1"/>
  <c r="R308" i="1"/>
  <c r="D309" i="1"/>
  <c r="M309" i="1"/>
  <c r="N309" i="1"/>
  <c r="P309" i="1"/>
  <c r="R309" i="1"/>
  <c r="D310" i="1"/>
  <c r="M310" i="1"/>
  <c r="N310" i="1"/>
  <c r="P310" i="1"/>
  <c r="R310" i="1"/>
  <c r="D311" i="1"/>
  <c r="M311" i="1"/>
  <c r="N311" i="1"/>
  <c r="P311" i="1"/>
  <c r="R311" i="1"/>
  <c r="D312" i="1"/>
  <c r="M312" i="1"/>
  <c r="N312" i="1"/>
  <c r="P312" i="1"/>
  <c r="R312" i="1"/>
  <c r="D313" i="1"/>
  <c r="M313" i="1"/>
  <c r="N313" i="1"/>
  <c r="P313" i="1"/>
  <c r="R313" i="1"/>
  <c r="D314" i="1"/>
  <c r="M314" i="1"/>
  <c r="N314" i="1"/>
  <c r="P314" i="1"/>
  <c r="R314" i="1"/>
  <c r="D315" i="1"/>
  <c r="M315" i="1"/>
  <c r="N315" i="1"/>
  <c r="P315" i="1"/>
  <c r="R315" i="1"/>
  <c r="D316" i="1"/>
  <c r="M316" i="1"/>
  <c r="N316" i="1"/>
  <c r="P316" i="1"/>
  <c r="R316" i="1"/>
  <c r="D317" i="1"/>
  <c r="M317" i="1"/>
  <c r="N317" i="1"/>
  <c r="P317" i="1"/>
  <c r="D318" i="1"/>
  <c r="M318" i="1"/>
  <c r="N318" i="1"/>
  <c r="P318" i="1"/>
  <c r="R318" i="1"/>
  <c r="D319" i="1"/>
  <c r="M319" i="1"/>
  <c r="N319" i="1"/>
  <c r="P319" i="1"/>
  <c r="R319" i="1"/>
  <c r="D320" i="1"/>
  <c r="M320" i="1"/>
  <c r="N320" i="1"/>
  <c r="P320" i="1"/>
  <c r="D321" i="1"/>
  <c r="M321" i="1"/>
  <c r="N321" i="1"/>
  <c r="P321" i="1"/>
  <c r="R321" i="1"/>
  <c r="D322" i="1"/>
  <c r="M322" i="1"/>
  <c r="N322" i="1"/>
  <c r="P322" i="1"/>
  <c r="R322" i="1"/>
  <c r="D323" i="1"/>
  <c r="M323" i="1"/>
  <c r="N323" i="1"/>
  <c r="P323" i="1"/>
  <c r="R323" i="1"/>
  <c r="D324" i="1"/>
  <c r="M324" i="1"/>
  <c r="N324" i="1"/>
  <c r="P324" i="1"/>
  <c r="D325" i="1"/>
  <c r="M325" i="1"/>
  <c r="N325" i="1"/>
  <c r="P325" i="1"/>
  <c r="R325" i="1"/>
  <c r="D326" i="1"/>
  <c r="M326" i="1"/>
  <c r="N326" i="1"/>
  <c r="P326" i="1"/>
  <c r="R326" i="1"/>
  <c r="D327" i="1"/>
  <c r="M327" i="1"/>
  <c r="N327" i="1"/>
  <c r="P327" i="1"/>
  <c r="D328" i="1"/>
  <c r="M328" i="1"/>
  <c r="N328" i="1"/>
  <c r="P328" i="1"/>
  <c r="R328" i="1"/>
  <c r="D329" i="1"/>
  <c r="M329" i="1"/>
  <c r="N329" i="1"/>
  <c r="P329" i="1"/>
  <c r="R329" i="1"/>
  <c r="D330" i="1"/>
  <c r="M330" i="1"/>
  <c r="N330" i="1"/>
  <c r="P330" i="1"/>
  <c r="D331" i="1"/>
  <c r="M331" i="1"/>
  <c r="N331" i="1"/>
  <c r="P331" i="1"/>
  <c r="R331" i="1"/>
  <c r="D332" i="1"/>
  <c r="M332" i="1"/>
  <c r="N332" i="1"/>
  <c r="P332" i="1"/>
  <c r="R332" i="1"/>
  <c r="D333" i="1"/>
  <c r="M333" i="1"/>
  <c r="N333" i="1"/>
  <c r="P333" i="1"/>
  <c r="R333" i="1"/>
  <c r="D334" i="1"/>
  <c r="M334" i="1"/>
  <c r="N334" i="1"/>
  <c r="P334" i="1"/>
  <c r="D335" i="1"/>
  <c r="M335" i="1"/>
  <c r="N335" i="1"/>
  <c r="P335" i="1"/>
  <c r="R335" i="1"/>
  <c r="D337" i="1"/>
  <c r="M337" i="1"/>
  <c r="N337" i="1"/>
  <c r="P337" i="1"/>
  <c r="R337" i="1"/>
  <c r="D338" i="1"/>
  <c r="M338" i="1"/>
  <c r="N338" i="1"/>
  <c r="P338" i="1"/>
  <c r="R338" i="1"/>
  <c r="D339" i="1"/>
  <c r="M339" i="1"/>
  <c r="N339" i="1"/>
  <c r="P339" i="1"/>
  <c r="R339" i="1"/>
  <c r="D340" i="1"/>
  <c r="M340" i="1"/>
  <c r="N340" i="1"/>
  <c r="P340" i="1"/>
  <c r="R340" i="1"/>
  <c r="D341" i="1"/>
  <c r="M341" i="1"/>
  <c r="N341" i="1"/>
  <c r="P341" i="1"/>
  <c r="R341" i="1"/>
  <c r="D342" i="1"/>
  <c r="M342" i="1"/>
  <c r="N342" i="1"/>
  <c r="P342" i="1"/>
  <c r="R342" i="1"/>
  <c r="BJ342" i="1"/>
  <c r="D343" i="1"/>
  <c r="M343" i="1"/>
  <c r="N343" i="1"/>
  <c r="P343" i="1"/>
  <c r="R343" i="1"/>
  <c r="BJ343" i="1"/>
  <c r="D344" i="1"/>
  <c r="M344" i="1"/>
  <c r="N344" i="1"/>
  <c r="P344" i="1"/>
  <c r="R344" i="1"/>
  <c r="BJ344" i="1"/>
  <c r="D345" i="1"/>
  <c r="M345" i="1"/>
  <c r="N345" i="1"/>
  <c r="P345" i="1"/>
  <c r="R345" i="1"/>
  <c r="BJ345" i="1"/>
  <c r="D346" i="1"/>
  <c r="M346" i="1"/>
  <c r="N346" i="1"/>
  <c r="P346" i="1"/>
  <c r="R346" i="1"/>
  <c r="BJ346" i="1"/>
  <c r="D347" i="1"/>
  <c r="M347" i="1"/>
  <c r="N347" i="1"/>
  <c r="P347" i="1"/>
  <c r="R347" i="1"/>
  <c r="BJ347" i="1"/>
  <c r="D348" i="1"/>
  <c r="M348" i="1"/>
  <c r="N348" i="1"/>
  <c r="P348" i="1"/>
  <c r="R348" i="1"/>
  <c r="BJ348" i="1"/>
  <c r="D349" i="1"/>
  <c r="M349" i="1"/>
  <c r="N349" i="1"/>
  <c r="P349" i="1"/>
  <c r="R349" i="1"/>
  <c r="BJ349" i="1"/>
  <c r="D350" i="1"/>
  <c r="M350" i="1"/>
  <c r="N350" i="1"/>
  <c r="P350" i="1"/>
  <c r="R350" i="1"/>
  <c r="BJ350" i="1"/>
  <c r="D351" i="1"/>
  <c r="M351" i="1"/>
  <c r="N351" i="1"/>
  <c r="P351" i="1"/>
  <c r="R351" i="1"/>
  <c r="BJ351" i="1"/>
  <c r="D352" i="1"/>
  <c r="M352" i="1"/>
  <c r="N352" i="1"/>
  <c r="P352" i="1"/>
  <c r="R352" i="1"/>
  <c r="D353" i="1"/>
  <c r="M353" i="1"/>
  <c r="N353" i="1"/>
  <c r="P353" i="1"/>
  <c r="R353" i="1"/>
  <c r="D354" i="1"/>
  <c r="M354" i="1"/>
  <c r="N354" i="1"/>
  <c r="P354" i="1"/>
  <c r="R354" i="1"/>
  <c r="D355" i="1"/>
  <c r="M355" i="1"/>
  <c r="N355" i="1"/>
  <c r="P355" i="1"/>
  <c r="R355" i="1"/>
  <c r="D356" i="1"/>
  <c r="M356" i="1"/>
  <c r="N356" i="1"/>
  <c r="P356" i="1"/>
  <c r="R356" i="1"/>
  <c r="D357" i="1"/>
  <c r="M357" i="1"/>
  <c r="N357" i="1"/>
  <c r="P357" i="1"/>
  <c r="R357" i="1"/>
  <c r="D358" i="1"/>
  <c r="M358" i="1"/>
  <c r="N358" i="1"/>
  <c r="P358" i="1"/>
  <c r="R358" i="1"/>
  <c r="D359" i="1"/>
  <c r="M359" i="1"/>
  <c r="N359" i="1"/>
  <c r="P359" i="1"/>
  <c r="R359" i="1"/>
  <c r="D360" i="1"/>
  <c r="M360" i="1"/>
  <c r="N360" i="1"/>
  <c r="P360" i="1"/>
  <c r="R360" i="1"/>
  <c r="D361" i="1"/>
  <c r="M361" i="1"/>
  <c r="N361" i="1"/>
  <c r="P361" i="1"/>
  <c r="R361" i="1"/>
  <c r="D362" i="1"/>
  <c r="M362" i="1"/>
  <c r="N362" i="1"/>
  <c r="P362" i="1"/>
  <c r="R362" i="1"/>
  <c r="D363" i="1"/>
  <c r="M363" i="1"/>
  <c r="N363" i="1"/>
  <c r="P363" i="1"/>
  <c r="R363" i="1"/>
  <c r="D364" i="1"/>
  <c r="M364" i="1"/>
  <c r="N364" i="1"/>
  <c r="P364" i="1"/>
  <c r="R364" i="1"/>
  <c r="D365" i="1"/>
  <c r="M365" i="1"/>
  <c r="N365" i="1"/>
  <c r="P365" i="1"/>
  <c r="R365" i="1"/>
  <c r="D366" i="1"/>
  <c r="M366" i="1"/>
  <c r="N366" i="1"/>
  <c r="P366" i="1"/>
  <c r="R366" i="1"/>
  <c r="D367" i="1"/>
  <c r="M367" i="1"/>
  <c r="N367" i="1"/>
  <c r="P367" i="1"/>
  <c r="R367" i="1"/>
  <c r="D368" i="1"/>
  <c r="M368" i="1"/>
  <c r="N368" i="1"/>
  <c r="P368" i="1"/>
  <c r="R368" i="1"/>
  <c r="D369" i="1"/>
  <c r="M369" i="1"/>
  <c r="N369" i="1"/>
  <c r="P369" i="1"/>
  <c r="R369" i="1"/>
  <c r="D370" i="1"/>
  <c r="M370" i="1"/>
  <c r="N370" i="1"/>
  <c r="P370" i="1"/>
  <c r="R370" i="1"/>
  <c r="D371" i="1"/>
  <c r="M371" i="1"/>
  <c r="N371" i="1"/>
  <c r="P371" i="1"/>
  <c r="R371" i="1"/>
  <c r="D372" i="1"/>
  <c r="M372" i="1"/>
  <c r="N372" i="1"/>
  <c r="P372" i="1"/>
  <c r="R372" i="1"/>
  <c r="D373" i="1"/>
  <c r="M373" i="1"/>
  <c r="N373" i="1"/>
  <c r="P373" i="1"/>
  <c r="R373" i="1"/>
  <c r="D374" i="1"/>
  <c r="M374" i="1"/>
  <c r="N374" i="1"/>
  <c r="P374" i="1"/>
  <c r="R374" i="1"/>
  <c r="D375" i="1"/>
  <c r="M375" i="1"/>
  <c r="N375" i="1"/>
  <c r="P375" i="1"/>
  <c r="R375" i="1"/>
  <c r="D376" i="1"/>
  <c r="M376" i="1"/>
  <c r="N376" i="1"/>
  <c r="P376" i="1"/>
  <c r="R376" i="1"/>
  <c r="D377" i="1"/>
  <c r="M377" i="1"/>
  <c r="N377" i="1"/>
  <c r="P377" i="1"/>
  <c r="R377" i="1"/>
  <c r="D378" i="1"/>
  <c r="M378" i="1"/>
  <c r="N378" i="1"/>
  <c r="P378" i="1"/>
  <c r="R378" i="1"/>
  <c r="D379" i="1"/>
  <c r="M379" i="1"/>
  <c r="N379" i="1"/>
  <c r="P379" i="1"/>
  <c r="R379" i="1"/>
  <c r="D380" i="1"/>
  <c r="M380" i="1"/>
  <c r="N380" i="1"/>
  <c r="P380" i="1"/>
  <c r="R380" i="1"/>
  <c r="D381" i="1"/>
  <c r="M381" i="1"/>
  <c r="N381" i="1"/>
  <c r="P381" i="1"/>
  <c r="R381" i="1"/>
  <c r="D382" i="1"/>
  <c r="M382" i="1"/>
  <c r="N382" i="1"/>
  <c r="P382" i="1"/>
  <c r="R382" i="1"/>
  <c r="D383" i="1"/>
  <c r="M383" i="1"/>
  <c r="N383" i="1"/>
  <c r="P383" i="1"/>
  <c r="R383" i="1"/>
  <c r="D384" i="1"/>
  <c r="M384" i="1"/>
  <c r="N384" i="1"/>
  <c r="P384" i="1"/>
  <c r="R384" i="1"/>
  <c r="D385" i="1"/>
  <c r="M385" i="1"/>
  <c r="N385" i="1"/>
  <c r="P385" i="1"/>
  <c r="R385" i="1"/>
  <c r="D386" i="1"/>
  <c r="M386" i="1"/>
  <c r="N386" i="1"/>
  <c r="P386" i="1"/>
  <c r="R386" i="1"/>
  <c r="D387" i="1"/>
  <c r="M387" i="1"/>
  <c r="N387" i="1"/>
  <c r="P387" i="1"/>
  <c r="R387" i="1"/>
  <c r="D388" i="1"/>
  <c r="M388" i="1"/>
  <c r="N388" i="1"/>
  <c r="P388" i="1"/>
  <c r="R388" i="1"/>
  <c r="D389" i="1"/>
  <c r="M389" i="1"/>
  <c r="N389" i="1"/>
  <c r="P389" i="1"/>
  <c r="R389" i="1"/>
  <c r="D390" i="1"/>
  <c r="M390" i="1"/>
  <c r="N390" i="1"/>
  <c r="P390" i="1"/>
  <c r="R390" i="1"/>
  <c r="D391" i="1"/>
  <c r="M391" i="1"/>
  <c r="N391" i="1"/>
  <c r="P391" i="1"/>
  <c r="R391" i="1"/>
  <c r="D392" i="1"/>
  <c r="M392" i="1"/>
  <c r="N392" i="1"/>
  <c r="P392" i="1"/>
  <c r="R392" i="1"/>
  <c r="D393" i="1"/>
  <c r="M393" i="1"/>
  <c r="N393" i="1"/>
  <c r="P393" i="1"/>
  <c r="R393" i="1"/>
  <c r="D394" i="1"/>
  <c r="M394" i="1"/>
  <c r="N394" i="1"/>
  <c r="P394" i="1"/>
  <c r="R394" i="1"/>
  <c r="D395" i="1"/>
  <c r="M395" i="1"/>
  <c r="N395" i="1"/>
  <c r="P395" i="1"/>
  <c r="R395" i="1"/>
  <c r="D396" i="1"/>
  <c r="M396" i="1"/>
  <c r="N396" i="1"/>
  <c r="P396" i="1"/>
  <c r="R396" i="1"/>
  <c r="D397" i="1"/>
  <c r="M397" i="1"/>
  <c r="N397" i="1"/>
  <c r="P397" i="1"/>
  <c r="R397" i="1"/>
  <c r="D398" i="1"/>
  <c r="M398" i="1"/>
  <c r="N398" i="1"/>
  <c r="P398" i="1"/>
  <c r="R398" i="1"/>
  <c r="D399" i="1"/>
  <c r="M399" i="1"/>
  <c r="N399" i="1"/>
  <c r="P399" i="1"/>
  <c r="R399" i="1"/>
  <c r="D400" i="1"/>
  <c r="M400" i="1"/>
  <c r="N400" i="1"/>
  <c r="P400" i="1"/>
  <c r="R400" i="1"/>
  <c r="D401" i="1"/>
  <c r="M401" i="1"/>
  <c r="N401" i="1"/>
  <c r="P401" i="1"/>
  <c r="R401" i="1"/>
  <c r="D402" i="1"/>
  <c r="M402" i="1"/>
  <c r="N402" i="1"/>
  <c r="P402" i="1"/>
  <c r="R402" i="1"/>
  <c r="D403" i="1"/>
  <c r="M403" i="1"/>
  <c r="N403" i="1"/>
  <c r="P403" i="1"/>
  <c r="R403" i="1"/>
  <c r="D404" i="1"/>
  <c r="M404" i="1"/>
  <c r="N404" i="1"/>
  <c r="P404" i="1"/>
  <c r="R404" i="1"/>
  <c r="D405" i="1"/>
  <c r="M405" i="1"/>
  <c r="N405" i="1"/>
  <c r="P405" i="1"/>
  <c r="R405" i="1"/>
  <c r="D406" i="1"/>
  <c r="M406" i="1"/>
  <c r="N406" i="1"/>
  <c r="P406" i="1"/>
  <c r="R406" i="1"/>
  <c r="D407" i="1"/>
  <c r="M407" i="1"/>
  <c r="N407" i="1"/>
  <c r="P407" i="1"/>
  <c r="R407" i="1"/>
  <c r="D408" i="1"/>
  <c r="M408" i="1"/>
  <c r="N408" i="1"/>
  <c r="P408" i="1"/>
  <c r="R408" i="1"/>
  <c r="D409" i="1"/>
  <c r="M409" i="1"/>
  <c r="N409" i="1"/>
  <c r="P409" i="1"/>
  <c r="R409" i="1"/>
  <c r="D410" i="1"/>
  <c r="M410" i="1"/>
  <c r="N410" i="1"/>
  <c r="P410" i="1"/>
  <c r="R410" i="1"/>
  <c r="D411" i="1"/>
  <c r="M411" i="1"/>
  <c r="N411" i="1"/>
  <c r="P411" i="1"/>
  <c r="R411" i="1"/>
  <c r="D412" i="1"/>
  <c r="M412" i="1"/>
  <c r="N412" i="1"/>
  <c r="P412" i="1"/>
  <c r="R412" i="1"/>
  <c r="D413" i="1"/>
  <c r="M413" i="1"/>
  <c r="N413" i="1"/>
  <c r="P413" i="1"/>
  <c r="R413" i="1"/>
  <c r="D414" i="1"/>
  <c r="M414" i="1"/>
  <c r="N414" i="1"/>
  <c r="P414" i="1"/>
  <c r="R414" i="1"/>
  <c r="D415" i="1"/>
  <c r="M415" i="1"/>
  <c r="N415" i="1"/>
  <c r="P415" i="1"/>
  <c r="R415" i="1"/>
  <c r="D416" i="1"/>
  <c r="M416" i="1"/>
  <c r="N416" i="1"/>
  <c r="P416" i="1"/>
  <c r="R416" i="1"/>
  <c r="D417" i="1"/>
  <c r="M417" i="1"/>
  <c r="N417" i="1"/>
  <c r="P417" i="1"/>
  <c r="R417" i="1"/>
  <c r="D418" i="1"/>
  <c r="M418" i="1"/>
  <c r="N418" i="1"/>
  <c r="P418" i="1"/>
  <c r="R418" i="1"/>
  <c r="D419" i="1"/>
  <c r="M419" i="1"/>
  <c r="N419" i="1"/>
  <c r="P419" i="1"/>
  <c r="R419" i="1"/>
  <c r="D420" i="1"/>
  <c r="M420" i="1"/>
  <c r="N420" i="1"/>
  <c r="P420" i="1"/>
  <c r="R420" i="1"/>
  <c r="D421" i="1"/>
  <c r="M421" i="1"/>
  <c r="N421" i="1"/>
  <c r="P421" i="1"/>
  <c r="R421" i="1"/>
  <c r="D422" i="1"/>
  <c r="M422" i="1"/>
  <c r="N422" i="1"/>
  <c r="P422" i="1"/>
  <c r="R422" i="1"/>
  <c r="D423" i="1"/>
  <c r="M423" i="1"/>
  <c r="N423" i="1"/>
  <c r="P423" i="1"/>
  <c r="R423" i="1"/>
  <c r="D424" i="1"/>
  <c r="M424" i="1"/>
  <c r="N424" i="1"/>
  <c r="P424" i="1"/>
  <c r="R424" i="1"/>
  <c r="D425" i="1"/>
  <c r="M425" i="1"/>
  <c r="N425" i="1"/>
  <c r="P425" i="1"/>
  <c r="R425" i="1"/>
  <c r="D426" i="1"/>
  <c r="M426" i="1"/>
  <c r="N426" i="1"/>
  <c r="P426" i="1"/>
  <c r="R426" i="1"/>
  <c r="D427" i="1"/>
  <c r="M427" i="1"/>
  <c r="N427" i="1"/>
  <c r="P427" i="1"/>
  <c r="R427" i="1"/>
  <c r="D428" i="1"/>
  <c r="M428" i="1"/>
  <c r="N428" i="1"/>
  <c r="P428" i="1"/>
  <c r="R428" i="1"/>
  <c r="D429" i="1"/>
  <c r="M429" i="1"/>
  <c r="N429" i="1"/>
  <c r="P429" i="1"/>
  <c r="R429" i="1"/>
  <c r="D430" i="1"/>
  <c r="M430" i="1"/>
  <c r="N430" i="1"/>
  <c r="P430" i="1"/>
  <c r="R430" i="1"/>
  <c r="D431" i="1"/>
  <c r="M431" i="1"/>
  <c r="N431" i="1"/>
  <c r="P431" i="1"/>
  <c r="R431" i="1"/>
  <c r="D432" i="1"/>
  <c r="M432" i="1"/>
  <c r="N432" i="1"/>
  <c r="P432" i="1"/>
  <c r="R432" i="1"/>
  <c r="D433" i="1"/>
  <c r="M433" i="1"/>
  <c r="N433" i="1"/>
  <c r="P433" i="1"/>
  <c r="R433" i="1"/>
  <c r="D434" i="1"/>
  <c r="M434" i="1"/>
  <c r="N434" i="1"/>
  <c r="P434" i="1"/>
  <c r="R434" i="1"/>
  <c r="D435" i="1"/>
  <c r="M435" i="1"/>
  <c r="N435" i="1"/>
  <c r="P435" i="1"/>
  <c r="R435" i="1"/>
  <c r="D436" i="1"/>
  <c r="M436" i="1"/>
  <c r="N436" i="1"/>
  <c r="P436" i="1"/>
  <c r="R436" i="1"/>
  <c r="D437" i="1"/>
  <c r="M437" i="1"/>
  <c r="N437" i="1"/>
  <c r="P437" i="1"/>
  <c r="R437" i="1"/>
  <c r="D438" i="1"/>
  <c r="M438" i="1"/>
  <c r="N438" i="1"/>
  <c r="P438" i="1"/>
  <c r="R438" i="1"/>
  <c r="D439" i="1"/>
  <c r="M439" i="1"/>
  <c r="N439" i="1"/>
  <c r="P439" i="1"/>
  <c r="R439" i="1"/>
  <c r="D440" i="1"/>
  <c r="M440" i="1"/>
  <c r="N440" i="1"/>
  <c r="P440" i="1"/>
  <c r="R440" i="1"/>
  <c r="D441" i="1"/>
  <c r="M441" i="1"/>
  <c r="N441" i="1"/>
  <c r="P441" i="1"/>
  <c r="R441" i="1"/>
  <c r="D442" i="1"/>
  <c r="M442" i="1"/>
  <c r="N442" i="1"/>
  <c r="P442" i="1"/>
  <c r="R442" i="1"/>
  <c r="D443" i="1"/>
  <c r="M443" i="1"/>
  <c r="N443" i="1"/>
  <c r="P443" i="1"/>
  <c r="R443" i="1"/>
  <c r="D444" i="1"/>
  <c r="M444" i="1"/>
  <c r="N444" i="1"/>
  <c r="P444" i="1"/>
  <c r="R444" i="1"/>
  <c r="D445" i="1"/>
  <c r="M445" i="1"/>
  <c r="N445" i="1"/>
  <c r="P445" i="1"/>
  <c r="R445" i="1"/>
  <c r="D446" i="1"/>
  <c r="M446" i="1"/>
  <c r="N446" i="1"/>
  <c r="P446" i="1"/>
  <c r="R446" i="1"/>
  <c r="D447" i="1"/>
  <c r="M447" i="1"/>
  <c r="N447" i="1"/>
  <c r="P447" i="1"/>
  <c r="R447" i="1"/>
  <c r="D448" i="1"/>
  <c r="M448" i="1"/>
  <c r="N448" i="1"/>
  <c r="P448" i="1"/>
  <c r="R448" i="1"/>
  <c r="D449" i="1"/>
  <c r="M449" i="1"/>
  <c r="N449" i="1"/>
  <c r="P449" i="1"/>
  <c r="R449" i="1"/>
  <c r="D450" i="1"/>
  <c r="M450" i="1"/>
  <c r="N450" i="1"/>
  <c r="P450" i="1"/>
  <c r="R450" i="1"/>
  <c r="D451" i="1"/>
  <c r="M451" i="1"/>
  <c r="N451" i="1"/>
  <c r="P451" i="1"/>
  <c r="R451" i="1"/>
  <c r="D452" i="1"/>
  <c r="M452" i="1"/>
  <c r="N452" i="1"/>
  <c r="P452" i="1"/>
  <c r="R452" i="1"/>
  <c r="D453" i="1"/>
  <c r="M453" i="1"/>
  <c r="N453" i="1"/>
  <c r="P453" i="1"/>
  <c r="R453" i="1"/>
  <c r="D454" i="1"/>
  <c r="M454" i="1"/>
  <c r="N454" i="1"/>
  <c r="P454" i="1"/>
  <c r="R454" i="1"/>
  <c r="D455" i="1"/>
  <c r="M455" i="1"/>
  <c r="N455" i="1"/>
  <c r="P455" i="1"/>
  <c r="R455" i="1"/>
  <c r="D456" i="1"/>
  <c r="M456" i="1"/>
  <c r="N456" i="1"/>
  <c r="P456" i="1"/>
  <c r="R456" i="1"/>
  <c r="D457" i="1"/>
  <c r="M457" i="1"/>
  <c r="N457" i="1"/>
  <c r="P457" i="1"/>
  <c r="R457" i="1"/>
  <c r="D458" i="1"/>
  <c r="M458" i="1"/>
  <c r="N458" i="1"/>
  <c r="P458" i="1"/>
  <c r="R458" i="1"/>
  <c r="D459" i="1"/>
  <c r="M459" i="1"/>
  <c r="N459" i="1"/>
  <c r="P459" i="1"/>
  <c r="R459" i="1"/>
  <c r="D460" i="1"/>
  <c r="M460" i="1"/>
  <c r="N460" i="1"/>
  <c r="P460" i="1"/>
  <c r="R460" i="1"/>
  <c r="D461" i="1"/>
  <c r="M461" i="1"/>
  <c r="N461" i="1"/>
  <c r="P461" i="1"/>
  <c r="R461" i="1"/>
  <c r="D462" i="1"/>
  <c r="M462" i="1"/>
  <c r="N462" i="1"/>
  <c r="P462" i="1"/>
  <c r="R462" i="1"/>
  <c r="D463" i="1"/>
  <c r="M463" i="1"/>
  <c r="N463" i="1"/>
  <c r="P463" i="1"/>
  <c r="R463" i="1"/>
  <c r="D464" i="1"/>
  <c r="M464" i="1"/>
  <c r="N464" i="1"/>
  <c r="P464" i="1"/>
  <c r="R464" i="1"/>
  <c r="D465" i="1"/>
  <c r="M465" i="1"/>
  <c r="N465" i="1"/>
  <c r="P465" i="1"/>
  <c r="R465" i="1"/>
  <c r="D466" i="1"/>
  <c r="M466" i="1"/>
  <c r="N466" i="1"/>
  <c r="P466" i="1"/>
  <c r="R466" i="1"/>
  <c r="D467" i="1"/>
  <c r="M467" i="1"/>
  <c r="N467" i="1"/>
  <c r="P467" i="1"/>
  <c r="R467" i="1"/>
  <c r="D468" i="1"/>
  <c r="M468" i="1"/>
  <c r="N468" i="1"/>
  <c r="P468" i="1"/>
  <c r="R468" i="1"/>
  <c r="D469" i="1"/>
  <c r="M469" i="1"/>
  <c r="N469" i="1"/>
  <c r="P469" i="1"/>
  <c r="R469" i="1"/>
  <c r="D470" i="1"/>
  <c r="M470" i="1"/>
  <c r="N470" i="1"/>
  <c r="P470" i="1"/>
  <c r="R470" i="1"/>
  <c r="D471" i="1"/>
  <c r="M471" i="1"/>
  <c r="N471" i="1"/>
  <c r="P471" i="1"/>
  <c r="R471" i="1"/>
  <c r="D472" i="1"/>
  <c r="M472" i="1"/>
  <c r="N472" i="1"/>
  <c r="P472" i="1"/>
  <c r="R472" i="1"/>
  <c r="D473" i="1"/>
  <c r="M473" i="1"/>
  <c r="N473" i="1"/>
  <c r="P473" i="1"/>
  <c r="R473" i="1"/>
  <c r="D474" i="1"/>
  <c r="M474" i="1"/>
  <c r="N474" i="1"/>
  <c r="P474" i="1"/>
  <c r="R474" i="1"/>
  <c r="D475" i="1"/>
  <c r="M475" i="1"/>
  <c r="N475" i="1"/>
  <c r="P475" i="1"/>
  <c r="R475" i="1"/>
  <c r="D476" i="1"/>
  <c r="M476" i="1"/>
  <c r="N476" i="1"/>
  <c r="P476" i="1"/>
  <c r="R476" i="1"/>
  <c r="D477" i="1"/>
  <c r="M477" i="1"/>
  <c r="N477" i="1"/>
  <c r="P477" i="1"/>
  <c r="R477" i="1"/>
  <c r="D478" i="1"/>
  <c r="M478" i="1"/>
  <c r="N478" i="1"/>
  <c r="P478" i="1"/>
  <c r="R478" i="1"/>
  <c r="D479" i="1"/>
  <c r="M479" i="1"/>
  <c r="N479" i="1"/>
  <c r="P479" i="1"/>
  <c r="R479" i="1"/>
  <c r="D480" i="1"/>
  <c r="D481" i="1"/>
  <c r="M481" i="1"/>
  <c r="N481" i="1"/>
  <c r="P481" i="1"/>
  <c r="R481" i="1"/>
  <c r="D482" i="1"/>
  <c r="M482" i="1"/>
  <c r="N482" i="1"/>
  <c r="P482" i="1"/>
  <c r="R482" i="1"/>
  <c r="D483" i="1"/>
  <c r="M483" i="1"/>
  <c r="N483" i="1"/>
  <c r="P483" i="1"/>
  <c r="R483" i="1"/>
  <c r="D484" i="1"/>
  <c r="M484" i="1"/>
  <c r="N484" i="1"/>
  <c r="P484" i="1"/>
  <c r="R484" i="1"/>
  <c r="D485" i="1"/>
  <c r="M485" i="1"/>
  <c r="N485" i="1"/>
  <c r="P485" i="1"/>
  <c r="R485" i="1"/>
  <c r="D486" i="1"/>
  <c r="M486" i="1"/>
  <c r="N486" i="1"/>
  <c r="P486" i="1"/>
  <c r="R486" i="1"/>
  <c r="D487" i="1"/>
  <c r="M487" i="1"/>
  <c r="N487" i="1"/>
  <c r="P487" i="1"/>
  <c r="R487" i="1"/>
  <c r="D488" i="1"/>
  <c r="M488" i="1"/>
  <c r="N488" i="1"/>
  <c r="P488" i="1"/>
  <c r="R488" i="1"/>
  <c r="D489" i="1"/>
  <c r="M489" i="1"/>
  <c r="N489" i="1"/>
  <c r="P489" i="1"/>
  <c r="R489" i="1"/>
  <c r="D490" i="1"/>
  <c r="M490" i="1"/>
  <c r="N490" i="1"/>
  <c r="P490" i="1"/>
  <c r="R490" i="1"/>
  <c r="D491" i="1"/>
  <c r="M491" i="1"/>
  <c r="N491" i="1"/>
  <c r="P491" i="1"/>
  <c r="R491" i="1"/>
  <c r="D492" i="1"/>
  <c r="M492" i="1"/>
  <c r="N492" i="1"/>
  <c r="P492" i="1"/>
  <c r="R492" i="1"/>
  <c r="D493" i="1"/>
  <c r="M493" i="1"/>
  <c r="N493" i="1"/>
  <c r="P493" i="1"/>
  <c r="R493" i="1"/>
  <c r="D494" i="1"/>
  <c r="M494" i="1"/>
  <c r="N494" i="1"/>
  <c r="P494" i="1"/>
  <c r="R494" i="1"/>
  <c r="D495" i="1"/>
  <c r="M495" i="1"/>
  <c r="N495" i="1"/>
  <c r="P495" i="1"/>
  <c r="R495" i="1"/>
  <c r="D496" i="1"/>
  <c r="M496" i="1"/>
  <c r="N496" i="1"/>
  <c r="P496" i="1"/>
  <c r="R496" i="1"/>
  <c r="D174" i="1"/>
  <c r="M174" i="1"/>
  <c r="N174" i="1"/>
  <c r="P174" i="1"/>
  <c r="R174" i="1"/>
  <c r="D175" i="1"/>
  <c r="M175" i="1"/>
  <c r="N175" i="1"/>
  <c r="P175" i="1"/>
  <c r="R175" i="1"/>
  <c r="D176" i="1"/>
  <c r="M176" i="1"/>
  <c r="N176" i="1"/>
  <c r="P176" i="1"/>
  <c r="R176" i="1"/>
  <c r="D173" i="1"/>
  <c r="M173" i="1"/>
  <c r="N173" i="1"/>
  <c r="P173" i="1"/>
  <c r="R173" i="1"/>
  <c r="D172" i="1"/>
  <c r="M172" i="1"/>
  <c r="N172" i="1"/>
  <c r="P172" i="1"/>
  <c r="R172" i="1"/>
  <c r="D171" i="1"/>
  <c r="M171" i="1"/>
  <c r="N171" i="1"/>
  <c r="P171" i="1"/>
  <c r="R171" i="1"/>
  <c r="D163" i="1"/>
  <c r="M163" i="1"/>
  <c r="N163" i="1"/>
  <c r="P163" i="1"/>
  <c r="R163" i="1"/>
  <c r="D213" i="1"/>
  <c r="M213" i="1"/>
  <c r="N213" i="1"/>
  <c r="P213" i="1"/>
  <c r="R213" i="1"/>
  <c r="D214" i="1"/>
  <c r="M214" i="1"/>
  <c r="N214" i="1"/>
  <c r="P214" i="1"/>
  <c r="R214" i="1"/>
  <c r="D160" i="1"/>
  <c r="M160" i="1"/>
  <c r="N160" i="1"/>
  <c r="P160" i="1"/>
  <c r="R160" i="1"/>
  <c r="D159" i="1"/>
  <c r="M159" i="1"/>
  <c r="N159" i="1"/>
  <c r="P159" i="1"/>
  <c r="R159" i="1"/>
  <c r="D158" i="1"/>
  <c r="M158" i="1"/>
  <c r="N158" i="1"/>
  <c r="P158" i="1"/>
  <c r="R158" i="1"/>
  <c r="D216" i="1"/>
  <c r="M216" i="1"/>
  <c r="N216" i="1"/>
  <c r="P216" i="1"/>
  <c r="R216" i="1"/>
  <c r="D215" i="1"/>
  <c r="M215" i="1"/>
  <c r="N215" i="1"/>
  <c r="P215" i="1"/>
  <c r="R215" i="1"/>
  <c r="D205" i="1"/>
  <c r="M205" i="1"/>
  <c r="P205" i="1"/>
  <c r="R205" i="1"/>
  <c r="D206" i="1"/>
  <c r="M206" i="1"/>
  <c r="P206" i="1"/>
  <c r="R206" i="1"/>
  <c r="D207" i="1"/>
  <c r="M207" i="1"/>
  <c r="N207" i="1"/>
  <c r="P207" i="1"/>
  <c r="R207" i="1"/>
  <c r="D35" i="1"/>
  <c r="M35" i="1"/>
  <c r="N35" i="1"/>
  <c r="P35" i="1"/>
  <c r="R35" i="1"/>
  <c r="D36" i="1"/>
  <c r="M36" i="1"/>
  <c r="N36" i="1"/>
  <c r="P36" i="1"/>
  <c r="R36" i="1"/>
  <c r="D37" i="1"/>
  <c r="M37" i="1"/>
  <c r="N37" i="1"/>
  <c r="P37" i="1"/>
  <c r="R37" i="1"/>
  <c r="D217" i="1"/>
  <c r="M217" i="1"/>
  <c r="N217" i="1"/>
  <c r="P217" i="1"/>
  <c r="R217" i="1"/>
  <c r="D218" i="1"/>
  <c r="M218" i="1"/>
  <c r="N218" i="1"/>
  <c r="P218" i="1"/>
  <c r="R218" i="1"/>
  <c r="D19" i="1"/>
  <c r="M19" i="1"/>
  <c r="N19" i="1"/>
  <c r="P19" i="1"/>
  <c r="R19" i="1"/>
  <c r="D219" i="1"/>
  <c r="M219" i="1"/>
  <c r="N219" i="1"/>
  <c r="P219" i="1"/>
  <c r="R219" i="1"/>
  <c r="D155" i="1"/>
  <c r="M155" i="1"/>
  <c r="N155" i="1"/>
  <c r="P155" i="1"/>
  <c r="R155" i="1"/>
  <c r="D22" i="1"/>
  <c r="M22" i="1"/>
  <c r="N22" i="1"/>
  <c r="P22" i="1"/>
  <c r="R22" i="1"/>
  <c r="D151" i="1"/>
  <c r="M151" i="1"/>
  <c r="N151" i="1"/>
  <c r="P151" i="1"/>
  <c r="R151" i="1"/>
  <c r="D152" i="1"/>
  <c r="M152" i="1"/>
  <c r="N152" i="1"/>
  <c r="P152" i="1"/>
  <c r="R152" i="1"/>
  <c r="D153" i="1"/>
  <c r="M153" i="1"/>
  <c r="N153" i="1"/>
  <c r="P153" i="1"/>
  <c r="R153" i="1"/>
  <c r="D202" i="1"/>
  <c r="M202" i="1"/>
  <c r="N202" i="1"/>
  <c r="P202" i="1"/>
  <c r="R202" i="1"/>
  <c r="D54" i="1"/>
  <c r="M54" i="1"/>
  <c r="N54" i="1"/>
  <c r="P54" i="1"/>
  <c r="R54" i="1"/>
  <c r="AF54" i="1"/>
  <c r="BJ54" i="1"/>
  <c r="D157" i="1"/>
  <c r="M157" i="1"/>
  <c r="N157" i="1"/>
  <c r="P157" i="1"/>
  <c r="R157" i="1"/>
  <c r="BJ157" i="1"/>
  <c r="D31" i="1"/>
  <c r="M31" i="1"/>
  <c r="N31" i="1"/>
  <c r="P31" i="1"/>
  <c r="R31" i="1"/>
  <c r="BJ31" i="1"/>
  <c r="D162" i="1"/>
  <c r="M162" i="1"/>
  <c r="N162" i="1"/>
  <c r="P162" i="1"/>
  <c r="R162" i="1"/>
  <c r="D161" i="1"/>
  <c r="M161" i="1"/>
  <c r="N161" i="1"/>
  <c r="P161" i="1"/>
  <c r="R161" i="1"/>
  <c r="D26" i="1"/>
  <c r="M26" i="1"/>
  <c r="N26" i="1"/>
  <c r="P26" i="1"/>
  <c r="R26" i="1"/>
  <c r="D25" i="1"/>
  <c r="M25" i="1"/>
  <c r="N25" i="1"/>
  <c r="P25" i="1"/>
  <c r="R25" i="1"/>
  <c r="D211" i="1"/>
  <c r="M211" i="1"/>
  <c r="N211" i="1"/>
  <c r="P211" i="1"/>
  <c r="R211" i="1"/>
  <c r="D212" i="1"/>
  <c r="M212" i="1"/>
  <c r="N212" i="1"/>
  <c r="P212" i="1"/>
  <c r="R212" i="1"/>
  <c r="D208" i="1"/>
  <c r="M208" i="1"/>
  <c r="N208" i="1"/>
  <c r="P208" i="1"/>
  <c r="R208" i="1"/>
  <c r="D209" i="1"/>
  <c r="M209" i="1"/>
  <c r="N209" i="1"/>
  <c r="P209" i="1"/>
  <c r="R209" i="1"/>
  <c r="D210" i="1"/>
  <c r="M210" i="1"/>
  <c r="N210" i="1"/>
  <c r="P210" i="1"/>
  <c r="R210" i="1"/>
  <c r="D156" i="1"/>
  <c r="M156" i="1"/>
  <c r="N156" i="1"/>
  <c r="P156" i="1"/>
  <c r="R156" i="1"/>
  <c r="D60" i="1"/>
  <c r="M60" i="1"/>
  <c r="N60" i="1"/>
  <c r="P60" i="1"/>
  <c r="R60" i="1"/>
  <c r="D235" i="1"/>
  <c r="M235" i="1"/>
  <c r="N235" i="1"/>
  <c r="P235" i="1"/>
  <c r="R235" i="1"/>
  <c r="D363" i="10"/>
  <c r="M363" i="10"/>
  <c r="N363" i="10"/>
  <c r="P363" i="10"/>
  <c r="R363" i="10"/>
  <c r="D364" i="10"/>
  <c r="M364" i="10"/>
  <c r="N364" i="10"/>
  <c r="P364" i="10"/>
  <c r="R364" i="10"/>
  <c r="D362" i="10"/>
  <c r="M362" i="10"/>
  <c r="N362" i="10"/>
  <c r="P362" i="10"/>
  <c r="R362" i="10"/>
  <c r="D361" i="10"/>
  <c r="M361" i="10"/>
  <c r="N361" i="10"/>
  <c r="P361" i="10"/>
  <c r="R361" i="10"/>
  <c r="D360" i="10"/>
  <c r="M360" i="10"/>
  <c r="N360" i="10"/>
  <c r="P360" i="10"/>
  <c r="R360" i="10"/>
  <c r="D359" i="10"/>
  <c r="M359" i="10"/>
  <c r="N359" i="10"/>
  <c r="P359" i="10"/>
  <c r="R359" i="10"/>
  <c r="D358" i="10"/>
  <c r="M358" i="10"/>
  <c r="N358" i="10"/>
  <c r="P358" i="10"/>
  <c r="R358" i="10"/>
  <c r="AF358" i="10"/>
  <c r="AL358" i="10"/>
  <c r="D357" i="10"/>
  <c r="M357" i="10"/>
  <c r="N357" i="10"/>
  <c r="P357" i="10"/>
  <c r="R357" i="10"/>
  <c r="AF357" i="10"/>
  <c r="AL357" i="10"/>
  <c r="D356" i="10"/>
  <c r="M356" i="10"/>
  <c r="N356" i="10"/>
  <c r="P356" i="10"/>
  <c r="R356" i="10"/>
  <c r="AF356" i="10"/>
  <c r="AL356" i="10"/>
  <c r="BJ356" i="10"/>
  <c r="D355" i="10"/>
  <c r="M355" i="10"/>
  <c r="N355" i="10"/>
  <c r="P355" i="10"/>
  <c r="R355" i="10"/>
  <c r="D354" i="10"/>
  <c r="M354" i="10"/>
  <c r="N354" i="10"/>
  <c r="P354" i="10"/>
  <c r="R354" i="10"/>
  <c r="D353" i="10"/>
  <c r="M353" i="10"/>
  <c r="N353" i="10"/>
  <c r="P353" i="10"/>
  <c r="R353" i="10"/>
  <c r="D352" i="10"/>
  <c r="M352" i="10"/>
  <c r="N352" i="10"/>
  <c r="P352" i="10"/>
  <c r="R352" i="10"/>
  <c r="E349" i="10"/>
  <c r="D349" i="10" s="1"/>
  <c r="M349" i="10"/>
  <c r="N349" i="10"/>
  <c r="P349" i="10"/>
  <c r="R349" i="10"/>
  <c r="E350" i="10"/>
  <c r="D350" i="10" s="1"/>
  <c r="M350" i="10"/>
  <c r="N350" i="10"/>
  <c r="P350" i="10"/>
  <c r="R350" i="10"/>
  <c r="E351" i="10"/>
  <c r="D351" i="10" s="1"/>
  <c r="M351" i="10"/>
  <c r="N351" i="10"/>
  <c r="P351" i="10"/>
  <c r="R351" i="10"/>
  <c r="E348" i="10"/>
  <c r="D348" i="10" s="1"/>
  <c r="M348" i="10"/>
  <c r="N348" i="10"/>
  <c r="P348" i="10"/>
  <c r="R348" i="10"/>
  <c r="E343" i="10"/>
  <c r="D343" i="10" s="1"/>
  <c r="M343" i="10"/>
  <c r="N343" i="10"/>
  <c r="P343" i="10"/>
  <c r="R343" i="10"/>
  <c r="E344" i="10"/>
  <c r="D344" i="10" s="1"/>
  <c r="M344" i="10"/>
  <c r="N344" i="10"/>
  <c r="P344" i="10"/>
  <c r="R344" i="10"/>
  <c r="E345" i="10"/>
  <c r="D345" i="10" s="1"/>
  <c r="M345" i="10"/>
  <c r="N345" i="10"/>
  <c r="P345" i="10"/>
  <c r="R345" i="10"/>
  <c r="E346" i="10"/>
  <c r="D346" i="10" s="1"/>
  <c r="M346" i="10"/>
  <c r="N346" i="10"/>
  <c r="P346" i="10"/>
  <c r="R346" i="10"/>
  <c r="E347" i="10"/>
  <c r="D347" i="10" s="1"/>
  <c r="M347" i="10"/>
  <c r="N347" i="10"/>
  <c r="P347" i="10"/>
  <c r="R347" i="10"/>
  <c r="E342" i="10"/>
  <c r="D342" i="10" s="1"/>
  <c r="M342" i="10"/>
  <c r="N342" i="10"/>
  <c r="P342" i="10"/>
  <c r="R342" i="10"/>
  <c r="E340" i="10"/>
  <c r="D340" i="10" s="1"/>
  <c r="M340" i="10"/>
  <c r="N340" i="10"/>
  <c r="P340" i="10"/>
  <c r="R340" i="10"/>
  <c r="E341" i="10"/>
  <c r="D341" i="10" s="1"/>
  <c r="M341" i="10"/>
  <c r="N341" i="10"/>
  <c r="P341" i="10"/>
  <c r="R341" i="10"/>
  <c r="E332" i="10"/>
  <c r="D332" i="10" s="1"/>
  <c r="M332" i="10"/>
  <c r="N332" i="10"/>
  <c r="P332" i="10"/>
  <c r="R332" i="10"/>
  <c r="E333" i="10"/>
  <c r="D333" i="10" s="1"/>
  <c r="M333" i="10"/>
  <c r="N333" i="10"/>
  <c r="P333" i="10"/>
  <c r="R333" i="10"/>
  <c r="E334" i="10"/>
  <c r="D334" i="10" s="1"/>
  <c r="M334" i="10"/>
  <c r="N334" i="10"/>
  <c r="P334" i="10"/>
  <c r="R334" i="10"/>
  <c r="E335" i="10"/>
  <c r="D335" i="10" s="1"/>
  <c r="M335" i="10"/>
  <c r="N335" i="10"/>
  <c r="P335" i="10"/>
  <c r="R335" i="10"/>
  <c r="E336" i="10"/>
  <c r="D336" i="10" s="1"/>
  <c r="M336" i="10"/>
  <c r="N336" i="10"/>
  <c r="P336" i="10"/>
  <c r="R336" i="10"/>
  <c r="E337" i="10"/>
  <c r="D337" i="10" s="1"/>
  <c r="M337" i="10"/>
  <c r="N337" i="10"/>
  <c r="P337" i="10"/>
  <c r="R337" i="10"/>
  <c r="E338" i="10"/>
  <c r="D338" i="10" s="1"/>
  <c r="M338" i="10"/>
  <c r="N338" i="10"/>
  <c r="P338" i="10"/>
  <c r="R338" i="10"/>
  <c r="E339" i="10"/>
  <c r="D339" i="10" s="1"/>
  <c r="M339" i="10"/>
  <c r="N339" i="10"/>
  <c r="P339" i="10"/>
  <c r="R339" i="10"/>
  <c r="E331" i="10"/>
  <c r="D331" i="10" s="1"/>
  <c r="M331" i="10"/>
  <c r="N331" i="10"/>
  <c r="P331" i="10"/>
  <c r="R331" i="10"/>
  <c r="E329" i="10"/>
  <c r="D329" i="10" s="1"/>
  <c r="M329" i="10"/>
  <c r="N329" i="10"/>
  <c r="P329" i="10"/>
  <c r="R329" i="10"/>
  <c r="E330" i="10"/>
  <c r="D330" i="10" s="1"/>
  <c r="M330" i="10"/>
  <c r="N330" i="10"/>
  <c r="P330" i="10"/>
  <c r="R330" i="10"/>
  <c r="E316" i="10"/>
  <c r="D316" i="10" s="1"/>
  <c r="M316" i="10"/>
  <c r="N316" i="10"/>
  <c r="P316" i="10"/>
  <c r="R316" i="10"/>
  <c r="E317" i="10"/>
  <c r="D317" i="10" s="1"/>
  <c r="M317" i="10"/>
  <c r="N317" i="10"/>
  <c r="P317" i="10"/>
  <c r="R317" i="10"/>
  <c r="E318" i="10"/>
  <c r="D318" i="10" s="1"/>
  <c r="M318" i="10"/>
  <c r="N318" i="10"/>
  <c r="P318" i="10"/>
  <c r="R318" i="10"/>
  <c r="E319" i="10"/>
  <c r="D319" i="10" s="1"/>
  <c r="M319" i="10"/>
  <c r="N319" i="10"/>
  <c r="P319" i="10"/>
  <c r="R319" i="10"/>
  <c r="E320" i="10"/>
  <c r="D320" i="10" s="1"/>
  <c r="M320" i="10"/>
  <c r="N320" i="10"/>
  <c r="P320" i="10"/>
  <c r="R320" i="10"/>
  <c r="E321" i="10"/>
  <c r="D321" i="10" s="1"/>
  <c r="M321" i="10"/>
  <c r="N321" i="10"/>
  <c r="P321" i="10"/>
  <c r="R321" i="10"/>
  <c r="E322" i="10"/>
  <c r="D322" i="10" s="1"/>
  <c r="M322" i="10"/>
  <c r="N322" i="10"/>
  <c r="P322" i="10"/>
  <c r="R322" i="10"/>
  <c r="E323" i="10"/>
  <c r="D323" i="10" s="1"/>
  <c r="M323" i="10"/>
  <c r="N323" i="10"/>
  <c r="P323" i="10"/>
  <c r="R323" i="10"/>
  <c r="E324" i="10"/>
  <c r="D324" i="10" s="1"/>
  <c r="M324" i="10"/>
  <c r="N324" i="10"/>
  <c r="P324" i="10"/>
  <c r="R324" i="10"/>
  <c r="E325" i="10"/>
  <c r="D325" i="10" s="1"/>
  <c r="M325" i="10"/>
  <c r="N325" i="10"/>
  <c r="P325" i="10"/>
  <c r="R325" i="10"/>
  <c r="E326" i="10"/>
  <c r="D326" i="10" s="1"/>
  <c r="M326" i="10"/>
  <c r="N326" i="10"/>
  <c r="P326" i="10"/>
  <c r="R326" i="10"/>
  <c r="E327" i="10"/>
  <c r="D327" i="10" s="1"/>
  <c r="M327" i="10"/>
  <c r="N327" i="10"/>
  <c r="P327" i="10"/>
  <c r="R327" i="10"/>
  <c r="E328" i="10"/>
  <c r="D328" i="10" s="1"/>
  <c r="M328" i="10"/>
  <c r="N328" i="10"/>
  <c r="P328" i="10"/>
  <c r="R328" i="10"/>
  <c r="E306" i="10"/>
  <c r="D306" i="10" s="1"/>
  <c r="M306" i="10"/>
  <c r="N306" i="10"/>
  <c r="P306" i="10"/>
  <c r="R306" i="10"/>
  <c r="E307" i="10"/>
  <c r="D307" i="10" s="1"/>
  <c r="M307" i="10"/>
  <c r="N307" i="10"/>
  <c r="P307" i="10"/>
  <c r="R307" i="10"/>
  <c r="E308" i="10"/>
  <c r="D308" i="10" s="1"/>
  <c r="M308" i="10"/>
  <c r="N308" i="10"/>
  <c r="P308" i="10"/>
  <c r="R308" i="10"/>
  <c r="E309" i="10"/>
  <c r="D309" i="10" s="1"/>
  <c r="M309" i="10"/>
  <c r="N309" i="10"/>
  <c r="P309" i="10"/>
  <c r="R309" i="10"/>
  <c r="E310" i="10"/>
  <c r="D310" i="10" s="1"/>
  <c r="M310" i="10"/>
  <c r="N310" i="10"/>
  <c r="P310" i="10"/>
  <c r="R310" i="10"/>
  <c r="E311" i="10"/>
  <c r="D311" i="10" s="1"/>
  <c r="M311" i="10"/>
  <c r="N311" i="10"/>
  <c r="P311" i="10"/>
  <c r="R311" i="10"/>
  <c r="E312" i="10"/>
  <c r="D312" i="10" s="1"/>
  <c r="M312" i="10"/>
  <c r="N312" i="10"/>
  <c r="P312" i="10"/>
  <c r="R312" i="10"/>
  <c r="E313" i="10"/>
  <c r="D313" i="10" s="1"/>
  <c r="M313" i="10"/>
  <c r="N313" i="10"/>
  <c r="P313" i="10"/>
  <c r="R313" i="10"/>
  <c r="E314" i="10"/>
  <c r="D314" i="10" s="1"/>
  <c r="M314" i="10"/>
  <c r="N314" i="10"/>
  <c r="P314" i="10"/>
  <c r="R314" i="10"/>
  <c r="E315" i="10"/>
  <c r="D315" i="10" s="1"/>
  <c r="M315" i="10"/>
  <c r="N315" i="10"/>
  <c r="P315" i="10"/>
  <c r="R315" i="10"/>
  <c r="E303" i="10"/>
  <c r="D303" i="10" s="1"/>
  <c r="M303" i="10"/>
  <c r="N303" i="10"/>
  <c r="P303" i="10"/>
  <c r="R303" i="10"/>
  <c r="E304" i="10"/>
  <c r="D304" i="10" s="1"/>
  <c r="M304" i="10"/>
  <c r="N304" i="10"/>
  <c r="P304" i="10"/>
  <c r="R304" i="10"/>
  <c r="E305" i="10"/>
  <c r="D305" i="10" s="1"/>
  <c r="M305" i="10"/>
  <c r="N305" i="10"/>
  <c r="P305" i="10"/>
  <c r="R305" i="10"/>
  <c r="E299" i="10"/>
  <c r="D299" i="10" s="1"/>
  <c r="M299" i="10"/>
  <c r="N299" i="10"/>
  <c r="P299" i="10"/>
  <c r="R299" i="10"/>
  <c r="E300" i="10"/>
  <c r="D300" i="10" s="1"/>
  <c r="M300" i="10"/>
  <c r="N300" i="10"/>
  <c r="P300" i="10"/>
  <c r="R300" i="10"/>
  <c r="E301" i="10"/>
  <c r="D301" i="10" s="1"/>
  <c r="M301" i="10"/>
  <c r="N301" i="10"/>
  <c r="P301" i="10"/>
  <c r="R301" i="10"/>
  <c r="E302" i="10"/>
  <c r="D302" i="10" s="1"/>
  <c r="M302" i="10"/>
  <c r="N302" i="10"/>
  <c r="P302" i="10"/>
  <c r="R302" i="10"/>
  <c r="E296" i="10"/>
  <c r="D296" i="10" s="1"/>
  <c r="M296" i="10"/>
  <c r="N296" i="10"/>
  <c r="P296" i="10"/>
  <c r="R296" i="10"/>
  <c r="E297" i="10"/>
  <c r="D297" i="10" s="1"/>
  <c r="M297" i="10"/>
  <c r="N297" i="10"/>
  <c r="P297" i="10"/>
  <c r="R297" i="10"/>
  <c r="E298" i="10"/>
  <c r="D298" i="10" s="1"/>
  <c r="M298" i="10"/>
  <c r="N298" i="10"/>
  <c r="P298" i="10"/>
  <c r="R298" i="10"/>
  <c r="E295" i="10"/>
  <c r="D295" i="10" s="1"/>
  <c r="M295" i="10"/>
  <c r="N295" i="10"/>
  <c r="P295" i="10"/>
  <c r="R295" i="10"/>
  <c r="E293" i="10"/>
  <c r="D293" i="10" s="1"/>
  <c r="M293" i="10"/>
  <c r="N293" i="10"/>
  <c r="P293" i="10"/>
  <c r="R293" i="10"/>
  <c r="E294" i="10"/>
  <c r="D294" i="10" s="1"/>
  <c r="M294" i="10"/>
  <c r="N294" i="10"/>
  <c r="P294" i="10"/>
  <c r="R294" i="10"/>
  <c r="E291" i="10"/>
  <c r="D291" i="10" s="1"/>
  <c r="M291" i="10"/>
  <c r="N291" i="10"/>
  <c r="P291" i="10"/>
  <c r="R291" i="10"/>
  <c r="E292" i="10"/>
  <c r="D292" i="10" s="1"/>
  <c r="M292" i="10"/>
  <c r="N292" i="10"/>
  <c r="P292" i="10"/>
  <c r="R292" i="10"/>
  <c r="E290" i="10"/>
  <c r="D290" i="10" s="1"/>
  <c r="M290" i="10"/>
  <c r="N290" i="10"/>
  <c r="P290" i="10"/>
  <c r="R290" i="10"/>
  <c r="E288" i="10"/>
  <c r="D288" i="10" s="1"/>
  <c r="M288" i="10"/>
  <c r="N288" i="10"/>
  <c r="P288" i="10"/>
  <c r="R288" i="10"/>
  <c r="E289" i="10"/>
  <c r="D289" i="10" s="1"/>
  <c r="M289" i="10"/>
  <c r="N289" i="10"/>
  <c r="P289" i="10"/>
  <c r="R289" i="10"/>
  <c r="E287" i="10"/>
  <c r="D287" i="10" s="1"/>
  <c r="M287" i="10"/>
  <c r="N287" i="10"/>
  <c r="P287" i="10"/>
  <c r="R287" i="10"/>
  <c r="E283" i="10"/>
  <c r="D283" i="10" s="1"/>
  <c r="M283" i="10"/>
  <c r="N283" i="10"/>
  <c r="P283" i="10"/>
  <c r="R283" i="10"/>
  <c r="E284" i="10"/>
  <c r="D284" i="10" s="1"/>
  <c r="M284" i="10"/>
  <c r="N284" i="10"/>
  <c r="P284" i="10"/>
  <c r="R284" i="10"/>
  <c r="E285" i="10"/>
  <c r="D285" i="10" s="1"/>
  <c r="M285" i="10"/>
  <c r="N285" i="10"/>
  <c r="P285" i="10"/>
  <c r="R285" i="10"/>
  <c r="E286" i="10"/>
  <c r="D286" i="10" s="1"/>
  <c r="M286" i="10"/>
  <c r="N286" i="10"/>
  <c r="P286" i="10"/>
  <c r="R286" i="10"/>
  <c r="E282" i="10"/>
  <c r="D282" i="10" s="1"/>
  <c r="M282" i="10"/>
  <c r="N282" i="10"/>
  <c r="P282" i="10"/>
  <c r="R282" i="10"/>
  <c r="E269" i="10"/>
  <c r="D269" i="10" s="1"/>
  <c r="M269" i="10"/>
  <c r="N269" i="10"/>
  <c r="P269" i="10"/>
  <c r="R269" i="10"/>
  <c r="AF269" i="10"/>
  <c r="AL269" i="10"/>
  <c r="E270" i="10"/>
  <c r="D270" i="10" s="1"/>
  <c r="M270" i="10"/>
  <c r="N270" i="10"/>
  <c r="P270" i="10"/>
  <c r="R270" i="10"/>
  <c r="AF270" i="10"/>
  <c r="AL270" i="10"/>
  <c r="E271" i="10"/>
  <c r="D271" i="10" s="1"/>
  <c r="M271" i="10"/>
  <c r="N271" i="10"/>
  <c r="P271" i="10"/>
  <c r="R271" i="10"/>
  <c r="AF271" i="10"/>
  <c r="AL271" i="10"/>
  <c r="E272" i="10"/>
  <c r="D272" i="10" s="1"/>
  <c r="M272" i="10"/>
  <c r="N272" i="10"/>
  <c r="P272" i="10"/>
  <c r="R272" i="10"/>
  <c r="AF272" i="10"/>
  <c r="AL272" i="10"/>
  <c r="E273" i="10"/>
  <c r="D273" i="10" s="1"/>
  <c r="M273" i="10"/>
  <c r="N273" i="10"/>
  <c r="P273" i="10"/>
  <c r="R273" i="10"/>
  <c r="AF273" i="10"/>
  <c r="AL273" i="10"/>
  <c r="E274" i="10"/>
  <c r="D274" i="10" s="1"/>
  <c r="M274" i="10"/>
  <c r="N274" i="10"/>
  <c r="P274" i="10"/>
  <c r="R274" i="10"/>
  <c r="AF274" i="10"/>
  <c r="AL274" i="10"/>
  <c r="E275" i="10"/>
  <c r="D275" i="10" s="1"/>
  <c r="M275" i="10"/>
  <c r="N275" i="10"/>
  <c r="P275" i="10"/>
  <c r="R275" i="10"/>
  <c r="AF275" i="10"/>
  <c r="AL275" i="10"/>
  <c r="E276" i="10"/>
  <c r="D276" i="10" s="1"/>
  <c r="M276" i="10"/>
  <c r="N276" i="10"/>
  <c r="P276" i="10"/>
  <c r="R276" i="10"/>
  <c r="AF276" i="10"/>
  <c r="AL276" i="10"/>
  <c r="E277" i="10"/>
  <c r="D277" i="10" s="1"/>
  <c r="M277" i="10"/>
  <c r="N277" i="10"/>
  <c r="P277" i="10"/>
  <c r="R277" i="10"/>
  <c r="AF277" i="10"/>
  <c r="AL277" i="10"/>
  <c r="E278" i="10"/>
  <c r="D278" i="10" s="1"/>
  <c r="M278" i="10"/>
  <c r="N278" i="10"/>
  <c r="P278" i="10"/>
  <c r="R278" i="10"/>
  <c r="AF278" i="10"/>
  <c r="AL278" i="10"/>
  <c r="E279" i="10"/>
  <c r="D279" i="10" s="1"/>
  <c r="M279" i="10"/>
  <c r="N279" i="10"/>
  <c r="P279" i="10"/>
  <c r="R279" i="10"/>
  <c r="E280" i="10"/>
  <c r="D280" i="10" s="1"/>
  <c r="M280" i="10"/>
  <c r="N280" i="10"/>
  <c r="P280" i="10"/>
  <c r="R280" i="10"/>
  <c r="E281" i="10"/>
  <c r="D281" i="10" s="1"/>
  <c r="M281" i="10"/>
  <c r="N281" i="10"/>
  <c r="P281" i="10"/>
  <c r="R281" i="10"/>
  <c r="D268" i="10"/>
  <c r="M268" i="10"/>
  <c r="N268" i="10"/>
  <c r="P268" i="10"/>
  <c r="R268" i="10"/>
  <c r="AF268" i="10"/>
  <c r="AL268" i="10"/>
  <c r="D267" i="10"/>
  <c r="M267" i="10"/>
  <c r="N267" i="10"/>
  <c r="P267" i="10"/>
  <c r="R267" i="10"/>
  <c r="AF267" i="10"/>
  <c r="AL267" i="10"/>
  <c r="M8" i="10"/>
  <c r="AF59" i="1"/>
  <c r="M62" i="1"/>
  <c r="N62" i="1"/>
  <c r="P62" i="1"/>
  <c r="R62" i="1"/>
  <c r="M240" i="1"/>
  <c r="N240" i="1"/>
  <c r="P240" i="1"/>
  <c r="R240" i="1"/>
  <c r="M63" i="1"/>
  <c r="N63" i="1"/>
  <c r="P63" i="1"/>
  <c r="R63" i="1"/>
  <c r="M228" i="1"/>
  <c r="N228" i="1"/>
  <c r="P228" i="1"/>
  <c r="R228" i="1"/>
  <c r="M229" i="1"/>
  <c r="N229" i="1"/>
  <c r="P229" i="1"/>
  <c r="R229" i="1"/>
  <c r="M230" i="1"/>
  <c r="N230" i="1"/>
  <c r="P230" i="1"/>
  <c r="R230" i="1"/>
  <c r="M29" i="1"/>
  <c r="N29" i="1"/>
  <c r="P29" i="1"/>
  <c r="R29" i="1"/>
  <c r="M242" i="1"/>
  <c r="N242" i="1"/>
  <c r="P242" i="1"/>
  <c r="R242" i="1"/>
  <c r="M55" i="1"/>
  <c r="N55" i="1"/>
  <c r="P55" i="1"/>
  <c r="R55" i="1"/>
  <c r="M56" i="1"/>
  <c r="N56" i="1"/>
  <c r="P56" i="1"/>
  <c r="R56" i="1"/>
  <c r="M57" i="1"/>
  <c r="N57" i="1"/>
  <c r="P57" i="1"/>
  <c r="R57" i="1"/>
  <c r="M58" i="1"/>
  <c r="N58" i="1"/>
  <c r="P58" i="1"/>
  <c r="R58" i="1"/>
  <c r="M59" i="1"/>
  <c r="N59" i="1"/>
  <c r="P59" i="1"/>
  <c r="R59" i="1"/>
  <c r="AF63" i="1"/>
  <c r="AF55" i="1"/>
  <c r="AF56" i="1"/>
  <c r="AF57" i="1"/>
  <c r="AF58" i="1"/>
  <c r="D229" i="1"/>
  <c r="D230" i="1"/>
  <c r="D29" i="1"/>
  <c r="D242" i="1"/>
  <c r="D55" i="1"/>
  <c r="D56" i="1"/>
  <c r="D57" i="1"/>
  <c r="D58" i="1"/>
  <c r="D59" i="1"/>
  <c r="AF67" i="1"/>
  <c r="AF65" i="1"/>
  <c r="AF66" i="1"/>
  <c r="AF72" i="1"/>
  <c r="AF150" i="1"/>
  <c r="AF97" i="1"/>
  <c r="R72" i="1"/>
  <c r="P72" i="1"/>
  <c r="N72" i="1"/>
  <c r="M72" i="1"/>
  <c r="D72" i="1"/>
  <c r="M247" i="1"/>
  <c r="N247" i="1"/>
  <c r="P247" i="1"/>
  <c r="R247" i="1"/>
  <c r="M248" i="1"/>
  <c r="N248" i="1"/>
  <c r="P248" i="1"/>
  <c r="R248" i="1"/>
  <c r="M136" i="1"/>
  <c r="N136" i="1"/>
  <c r="P136" i="1"/>
  <c r="R136" i="1"/>
  <c r="M245" i="1"/>
  <c r="N245" i="1"/>
  <c r="P245" i="1"/>
  <c r="R245" i="1"/>
  <c r="M246" i="1"/>
  <c r="N246" i="1"/>
  <c r="P246" i="1"/>
  <c r="R246" i="1"/>
  <c r="M150" i="1"/>
  <c r="N150" i="1"/>
  <c r="P150" i="1"/>
  <c r="R150" i="1"/>
  <c r="M249" i="1"/>
  <c r="N249" i="1"/>
  <c r="P249" i="1"/>
  <c r="R249" i="1"/>
  <c r="M97" i="1"/>
  <c r="N97" i="1"/>
  <c r="P97" i="1"/>
  <c r="R97" i="1"/>
  <c r="M244" i="1"/>
  <c r="N244" i="1"/>
  <c r="P244" i="1"/>
  <c r="R244" i="1"/>
  <c r="M65" i="1"/>
  <c r="N65" i="1"/>
  <c r="P65" i="1"/>
  <c r="R65" i="1"/>
  <c r="M66" i="1"/>
  <c r="N66" i="1"/>
  <c r="P66" i="1"/>
  <c r="R66" i="1"/>
  <c r="M243" i="1"/>
  <c r="N243" i="1"/>
  <c r="P243" i="1"/>
  <c r="R243" i="1"/>
  <c r="M67" i="1"/>
  <c r="N67" i="1"/>
  <c r="P67" i="1"/>
  <c r="R67" i="1"/>
  <c r="M154" i="1"/>
  <c r="N154" i="1"/>
  <c r="P154" i="1"/>
  <c r="R154" i="1"/>
  <c r="M204" i="1"/>
  <c r="N204" i="1"/>
  <c r="P204" i="1"/>
  <c r="R204" i="1"/>
  <c r="M20" i="1"/>
  <c r="N20" i="1"/>
  <c r="P20" i="1"/>
  <c r="R20" i="1"/>
  <c r="M241" i="1"/>
  <c r="N241" i="1"/>
  <c r="P241" i="1"/>
  <c r="R241" i="1"/>
  <c r="M61" i="1"/>
  <c r="N61" i="1"/>
  <c r="P61" i="1"/>
  <c r="R61" i="1"/>
  <c r="D248" i="1"/>
  <c r="R98" i="1"/>
  <c r="P98" i="1"/>
  <c r="N98" i="1"/>
  <c r="M98" i="1"/>
  <c r="D98" i="1"/>
  <c r="M252" i="1"/>
  <c r="N252" i="1"/>
  <c r="AF75" i="1"/>
  <c r="AF137" i="1"/>
  <c r="AF136" i="1"/>
  <c r="D134" i="1"/>
  <c r="D73" i="1"/>
  <c r="D74" i="1"/>
  <c r="D75" i="1"/>
  <c r="D137" i="1"/>
  <c r="D252" i="1"/>
  <c r="D247" i="1"/>
  <c r="D136" i="1"/>
  <c r="D245" i="1"/>
  <c r="D246" i="1"/>
  <c r="D150" i="1"/>
  <c r="D249" i="1"/>
  <c r="D97" i="1"/>
  <c r="D244" i="1"/>
  <c r="D65" i="1"/>
  <c r="D66" i="1"/>
  <c r="D243" i="1"/>
  <c r="D67" i="1"/>
  <c r="D154" i="1"/>
  <c r="D204" i="1"/>
  <c r="D20" i="1"/>
  <c r="D241" i="1"/>
  <c r="D61" i="1"/>
  <c r="D62" i="1"/>
  <c r="D240" i="1"/>
  <c r="D63" i="1"/>
  <c r="D228" i="1"/>
  <c r="AF71" i="1"/>
  <c r="AF134" i="1"/>
  <c r="AF73" i="1"/>
  <c r="AF74" i="1"/>
  <c r="D254" i="10"/>
  <c r="D255" i="10"/>
  <c r="D256" i="10"/>
  <c r="D257" i="10"/>
  <c r="D258" i="10"/>
  <c r="D259" i="10"/>
  <c r="D260" i="10"/>
  <c r="D261" i="10"/>
  <c r="D262" i="10"/>
  <c r="D263" i="10"/>
  <c r="D264" i="10"/>
  <c r="D265" i="10"/>
  <c r="D266" i="10"/>
  <c r="AF139" i="1"/>
  <c r="AF140" i="1"/>
  <c r="AF147" i="1"/>
  <c r="AF102" i="1"/>
  <c r="AF103" i="1"/>
  <c r="AF68" i="1"/>
  <c r="AF69" i="1"/>
  <c r="AF70" i="1"/>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24" i="10"/>
  <c r="M218" i="10"/>
  <c r="N218" i="10"/>
  <c r="P218" i="10"/>
  <c r="R218" i="10"/>
  <c r="M219" i="10"/>
  <c r="N219" i="10"/>
  <c r="P219" i="10"/>
  <c r="R219" i="10"/>
  <c r="M220" i="10"/>
  <c r="N220" i="10"/>
  <c r="P220" i="10"/>
  <c r="R220" i="10"/>
  <c r="M221" i="10"/>
  <c r="N221" i="10"/>
  <c r="P221" i="10"/>
  <c r="R221" i="10"/>
  <c r="M222" i="10"/>
  <c r="N222" i="10"/>
  <c r="P222" i="10"/>
  <c r="R222" i="10"/>
  <c r="M223" i="10"/>
  <c r="N223" i="10"/>
  <c r="P223" i="10"/>
  <c r="R223" i="10"/>
  <c r="M224" i="10"/>
  <c r="N224" i="10"/>
  <c r="P224" i="10"/>
  <c r="R224" i="10"/>
  <c r="M225" i="10"/>
  <c r="N225" i="10"/>
  <c r="P225" i="10"/>
  <c r="R225" i="10"/>
  <c r="M226" i="10"/>
  <c r="N226" i="10"/>
  <c r="P226" i="10"/>
  <c r="R226" i="10"/>
  <c r="M227" i="10"/>
  <c r="N227" i="10"/>
  <c r="P227" i="10"/>
  <c r="R227" i="10"/>
  <c r="M228" i="10"/>
  <c r="N228" i="10"/>
  <c r="P228" i="10"/>
  <c r="R228" i="10"/>
  <c r="M229" i="10"/>
  <c r="N229" i="10"/>
  <c r="P229" i="10"/>
  <c r="R229" i="10"/>
  <c r="M230" i="10"/>
  <c r="N230" i="10"/>
  <c r="P230" i="10"/>
  <c r="R230" i="10"/>
  <c r="M231" i="10"/>
  <c r="N231" i="10"/>
  <c r="P231" i="10"/>
  <c r="R231" i="10"/>
  <c r="M232" i="10"/>
  <c r="N232" i="10"/>
  <c r="P232" i="10"/>
  <c r="R232" i="10"/>
  <c r="M233" i="10"/>
  <c r="N233" i="10"/>
  <c r="P233" i="10"/>
  <c r="R233" i="10"/>
  <c r="M234" i="10"/>
  <c r="N234" i="10"/>
  <c r="P234" i="10"/>
  <c r="R234" i="10"/>
  <c r="M235" i="10"/>
  <c r="N235" i="10"/>
  <c r="P235" i="10"/>
  <c r="R235" i="10"/>
  <c r="M236" i="10"/>
  <c r="N236" i="10"/>
  <c r="P236" i="10"/>
  <c r="R236" i="10"/>
  <c r="M237" i="10"/>
  <c r="N237" i="10"/>
  <c r="P237" i="10"/>
  <c r="R237" i="10"/>
  <c r="M238" i="10"/>
  <c r="N238" i="10"/>
  <c r="P238" i="10"/>
  <c r="R238" i="10"/>
  <c r="M239" i="10"/>
  <c r="N239" i="10"/>
  <c r="P239" i="10"/>
  <c r="R239" i="10"/>
  <c r="M240" i="10"/>
  <c r="N240" i="10"/>
  <c r="P240" i="10"/>
  <c r="R240" i="10"/>
  <c r="M241" i="10"/>
  <c r="N241" i="10"/>
  <c r="P241" i="10"/>
  <c r="R241" i="10"/>
  <c r="M242" i="10"/>
  <c r="N242" i="10"/>
  <c r="P242" i="10"/>
  <c r="R242" i="10"/>
  <c r="M243" i="10"/>
  <c r="N243" i="10"/>
  <c r="P243" i="10"/>
  <c r="R243" i="10"/>
  <c r="M244" i="10"/>
  <c r="N244" i="10"/>
  <c r="P244" i="10"/>
  <c r="R244" i="10"/>
  <c r="M245" i="10"/>
  <c r="N245" i="10"/>
  <c r="P245" i="10"/>
  <c r="R245" i="10"/>
  <c r="M246" i="10"/>
  <c r="N246" i="10"/>
  <c r="P246" i="10"/>
  <c r="R246" i="10"/>
  <c r="M247" i="10"/>
  <c r="N247" i="10"/>
  <c r="P247" i="10"/>
  <c r="R247" i="10"/>
  <c r="M248" i="10"/>
  <c r="N248" i="10"/>
  <c r="P248" i="10"/>
  <c r="R248" i="10"/>
  <c r="M249" i="10"/>
  <c r="N249" i="10"/>
  <c r="P249" i="10"/>
  <c r="R249" i="10"/>
  <c r="M250" i="10"/>
  <c r="N250" i="10"/>
  <c r="P250" i="10"/>
  <c r="R250" i="10"/>
  <c r="M251" i="10"/>
  <c r="N251" i="10"/>
  <c r="P251" i="10"/>
  <c r="R251" i="10"/>
  <c r="M252" i="10"/>
  <c r="N252" i="10"/>
  <c r="P252" i="10"/>
  <c r="R252" i="10"/>
  <c r="M253" i="10"/>
  <c r="N253" i="10"/>
  <c r="P253" i="10"/>
  <c r="R253" i="10"/>
  <c r="M254" i="10"/>
  <c r="N254" i="10"/>
  <c r="P254" i="10"/>
  <c r="R254" i="10"/>
  <c r="M255" i="10"/>
  <c r="N255" i="10"/>
  <c r="P255" i="10"/>
  <c r="R255" i="10"/>
  <c r="M256" i="10"/>
  <c r="N256" i="10"/>
  <c r="P256" i="10"/>
  <c r="R256" i="10"/>
  <c r="M257" i="10"/>
  <c r="N257" i="10"/>
  <c r="P257" i="10"/>
  <c r="R257" i="10"/>
  <c r="M258" i="10"/>
  <c r="N258" i="10"/>
  <c r="P258" i="10"/>
  <c r="R258" i="10"/>
  <c r="M259" i="10"/>
  <c r="N259" i="10"/>
  <c r="P259" i="10"/>
  <c r="R259" i="10"/>
  <c r="M260" i="10"/>
  <c r="N260" i="10"/>
  <c r="P260" i="10"/>
  <c r="R260" i="10"/>
  <c r="M261" i="10"/>
  <c r="N261" i="10"/>
  <c r="P261" i="10"/>
  <c r="R261" i="10"/>
  <c r="M262" i="10"/>
  <c r="N262" i="10"/>
  <c r="P262" i="10"/>
  <c r="R262" i="10"/>
  <c r="M263" i="10"/>
  <c r="N263" i="10"/>
  <c r="P263" i="10"/>
  <c r="R263" i="10"/>
  <c r="M264" i="10"/>
  <c r="N264" i="10"/>
  <c r="P264" i="10"/>
  <c r="R264" i="10"/>
  <c r="M265" i="10"/>
  <c r="N265" i="10"/>
  <c r="P265" i="10"/>
  <c r="R265" i="10"/>
  <c r="M266" i="10"/>
  <c r="N266" i="10"/>
  <c r="P266" i="10"/>
  <c r="R266" i="10"/>
  <c r="D223" i="10"/>
  <c r="D222" i="10"/>
  <c r="D221" i="10"/>
  <c r="D220" i="10"/>
  <c r="D219" i="10"/>
  <c r="D218" i="10"/>
  <c r="D217" i="10"/>
  <c r="AF104" i="1"/>
  <c r="AF105" i="1"/>
  <c r="AF106" i="1"/>
  <c r="M199" i="10"/>
  <c r="N199" i="10"/>
  <c r="P199" i="10"/>
  <c r="R199" i="10"/>
  <c r="M200" i="10"/>
  <c r="N200" i="10"/>
  <c r="P200" i="10"/>
  <c r="R200" i="10"/>
  <c r="M201" i="10"/>
  <c r="N201" i="10"/>
  <c r="P201" i="10"/>
  <c r="R201" i="10"/>
  <c r="M202" i="10"/>
  <c r="N202" i="10"/>
  <c r="P202" i="10"/>
  <c r="R202" i="10"/>
  <c r="M203" i="10"/>
  <c r="N203" i="10"/>
  <c r="P203" i="10"/>
  <c r="R203" i="10"/>
  <c r="M204" i="10"/>
  <c r="N204" i="10"/>
  <c r="P204" i="10"/>
  <c r="R204" i="10"/>
  <c r="M205" i="10"/>
  <c r="N205" i="10"/>
  <c r="P205" i="10"/>
  <c r="R205" i="10"/>
  <c r="M206" i="10"/>
  <c r="N206" i="10"/>
  <c r="P206" i="10"/>
  <c r="R206" i="10"/>
  <c r="M207" i="10"/>
  <c r="N207" i="10"/>
  <c r="P207" i="10"/>
  <c r="R207" i="10"/>
  <c r="M208" i="10"/>
  <c r="N208" i="10"/>
  <c r="P208" i="10"/>
  <c r="R208" i="10"/>
  <c r="M209" i="10"/>
  <c r="N209" i="10"/>
  <c r="P209" i="10"/>
  <c r="R209" i="10"/>
  <c r="M210" i="10"/>
  <c r="N210" i="10"/>
  <c r="P210" i="10"/>
  <c r="R210" i="10"/>
  <c r="M211" i="10"/>
  <c r="N211" i="10"/>
  <c r="P211" i="10"/>
  <c r="R211" i="10"/>
  <c r="M212" i="10"/>
  <c r="N212" i="10"/>
  <c r="P212" i="10"/>
  <c r="R212" i="10"/>
  <c r="M213" i="10"/>
  <c r="N213" i="10"/>
  <c r="P213" i="10"/>
  <c r="R213" i="10"/>
  <c r="M214" i="10"/>
  <c r="N214" i="10"/>
  <c r="P214" i="10"/>
  <c r="R214" i="10"/>
  <c r="M215" i="10"/>
  <c r="N215" i="10"/>
  <c r="P215" i="10"/>
  <c r="R215" i="10"/>
  <c r="M216" i="10"/>
  <c r="N216" i="10"/>
  <c r="P216" i="10"/>
  <c r="R216" i="10"/>
  <c r="M217" i="10"/>
  <c r="N217" i="10"/>
  <c r="P217" i="10"/>
  <c r="R217" i="10"/>
  <c r="D199" i="10"/>
  <c r="D200" i="10"/>
  <c r="D201" i="10"/>
  <c r="D202" i="10"/>
  <c r="D203" i="10"/>
  <c r="D204" i="10"/>
  <c r="D205" i="10"/>
  <c r="D206" i="10"/>
  <c r="D207" i="10"/>
  <c r="D208" i="10"/>
  <c r="D209" i="10"/>
  <c r="D210" i="10"/>
  <c r="D211" i="10"/>
  <c r="D212" i="10"/>
  <c r="D213" i="10"/>
  <c r="D214" i="10"/>
  <c r="D215" i="10"/>
  <c r="D216" i="10"/>
  <c r="D191" i="10"/>
  <c r="D192" i="10"/>
  <c r="D193" i="10"/>
  <c r="D194" i="10"/>
  <c r="D195" i="10"/>
  <c r="D196" i="10"/>
  <c r="D197" i="10"/>
  <c r="D198" i="10"/>
  <c r="M183" i="10"/>
  <c r="N183" i="10"/>
  <c r="P183" i="10"/>
  <c r="R183" i="10"/>
  <c r="M184" i="10"/>
  <c r="N184" i="10"/>
  <c r="P184" i="10"/>
  <c r="R184" i="10"/>
  <c r="M185" i="10"/>
  <c r="N185" i="10"/>
  <c r="P185" i="10"/>
  <c r="R185" i="10"/>
  <c r="M186" i="10"/>
  <c r="N186" i="10"/>
  <c r="P186" i="10"/>
  <c r="R186" i="10"/>
  <c r="M187" i="10"/>
  <c r="N187" i="10"/>
  <c r="P187" i="10"/>
  <c r="R187" i="10"/>
  <c r="M188" i="10"/>
  <c r="N188" i="10"/>
  <c r="P188" i="10"/>
  <c r="R188" i="10"/>
  <c r="M189" i="10"/>
  <c r="N189" i="10"/>
  <c r="P189" i="10"/>
  <c r="R189" i="10"/>
  <c r="M190" i="10"/>
  <c r="N190" i="10"/>
  <c r="P190" i="10"/>
  <c r="R190" i="10"/>
  <c r="M191" i="10"/>
  <c r="N191" i="10"/>
  <c r="P191" i="10"/>
  <c r="R191" i="10"/>
  <c r="M192" i="10"/>
  <c r="N192" i="10"/>
  <c r="P192" i="10"/>
  <c r="R192" i="10"/>
  <c r="M193" i="10"/>
  <c r="N193" i="10"/>
  <c r="P193" i="10"/>
  <c r="R193" i="10"/>
  <c r="M194" i="10"/>
  <c r="N194" i="10"/>
  <c r="P194" i="10"/>
  <c r="R194" i="10"/>
  <c r="M195" i="10"/>
  <c r="N195" i="10"/>
  <c r="P195" i="10"/>
  <c r="R195" i="10"/>
  <c r="M196" i="10"/>
  <c r="N196" i="10"/>
  <c r="P196" i="10"/>
  <c r="R196" i="10"/>
  <c r="M197" i="10"/>
  <c r="N197" i="10"/>
  <c r="P197" i="10"/>
  <c r="R197" i="10"/>
  <c r="M198" i="10"/>
  <c r="N198" i="10"/>
  <c r="P198" i="10"/>
  <c r="R198" i="10"/>
  <c r="D190" i="10"/>
  <c r="D189" i="10"/>
  <c r="D188" i="10"/>
  <c r="D187" i="10"/>
  <c r="N166" i="10"/>
  <c r="P166" i="10"/>
  <c r="R166" i="10"/>
  <c r="N167" i="10"/>
  <c r="P167" i="10"/>
  <c r="R167" i="10"/>
  <c r="N168" i="10"/>
  <c r="P168" i="10"/>
  <c r="R168" i="10"/>
  <c r="N169" i="10"/>
  <c r="P169" i="10"/>
  <c r="R169" i="10"/>
  <c r="N170" i="10"/>
  <c r="P170" i="10"/>
  <c r="R170" i="10"/>
  <c r="N171" i="10"/>
  <c r="P171" i="10"/>
  <c r="R171" i="10"/>
  <c r="N172" i="10"/>
  <c r="P172" i="10"/>
  <c r="R172" i="10"/>
  <c r="N173" i="10"/>
  <c r="P173" i="10"/>
  <c r="R173" i="10"/>
  <c r="N174" i="10"/>
  <c r="P174" i="10"/>
  <c r="R174" i="10"/>
  <c r="N175" i="10"/>
  <c r="P175" i="10"/>
  <c r="R175" i="10"/>
  <c r="N176" i="10"/>
  <c r="P176" i="10"/>
  <c r="R176" i="10"/>
  <c r="N177" i="10"/>
  <c r="P177" i="10"/>
  <c r="R177" i="10"/>
  <c r="N178" i="10"/>
  <c r="P178" i="10"/>
  <c r="R178" i="10"/>
  <c r="N179" i="10"/>
  <c r="P179" i="10"/>
  <c r="R179" i="10"/>
  <c r="N180" i="10"/>
  <c r="P180" i="10"/>
  <c r="R180" i="10"/>
  <c r="N181" i="10"/>
  <c r="P181" i="10"/>
  <c r="R181" i="10"/>
  <c r="N182" i="10"/>
  <c r="P182" i="10"/>
  <c r="R182" i="10"/>
  <c r="M166" i="10"/>
  <c r="M167" i="10"/>
  <c r="M168" i="10"/>
  <c r="M169" i="10"/>
  <c r="M170" i="10"/>
  <c r="M171" i="10"/>
  <c r="M172" i="10"/>
  <c r="M173" i="10"/>
  <c r="M174" i="10"/>
  <c r="M175" i="10"/>
  <c r="M176" i="10"/>
  <c r="M177" i="10"/>
  <c r="M178" i="10"/>
  <c r="M179" i="10"/>
  <c r="M180" i="10"/>
  <c r="M181" i="10"/>
  <c r="M182" i="10"/>
  <c r="M256" i="1"/>
  <c r="N256" i="1"/>
  <c r="R256" i="1"/>
  <c r="M257" i="1"/>
  <c r="N257" i="1"/>
  <c r="R257" i="1"/>
  <c r="M102" i="1"/>
  <c r="N102" i="1"/>
  <c r="P102" i="1"/>
  <c r="R102" i="1"/>
  <c r="M103" i="1"/>
  <c r="N103" i="1"/>
  <c r="P103" i="1"/>
  <c r="R103" i="1"/>
  <c r="M258" i="1"/>
  <c r="N258" i="1"/>
  <c r="R258" i="1"/>
  <c r="M68" i="1"/>
  <c r="N68" i="1"/>
  <c r="R68" i="1"/>
  <c r="M69" i="1"/>
  <c r="N69" i="1"/>
  <c r="P69" i="1"/>
  <c r="R69" i="1"/>
  <c r="M70" i="1"/>
  <c r="N70" i="1"/>
  <c r="P70" i="1"/>
  <c r="R70" i="1"/>
  <c r="M71" i="1"/>
  <c r="N71" i="1"/>
  <c r="R71" i="1"/>
  <c r="M134" i="1"/>
  <c r="N134" i="1"/>
  <c r="R134" i="1"/>
  <c r="M73" i="1"/>
  <c r="N73" i="1"/>
  <c r="P73" i="1"/>
  <c r="R73" i="1"/>
  <c r="M74" i="1"/>
  <c r="N74" i="1"/>
  <c r="P74" i="1"/>
  <c r="R74" i="1"/>
  <c r="M75" i="1"/>
  <c r="N75" i="1"/>
  <c r="R75" i="1"/>
  <c r="M137" i="1"/>
  <c r="N137" i="1"/>
  <c r="P137" i="1"/>
  <c r="R137" i="1"/>
  <c r="D259" i="1"/>
  <c r="D106" i="1"/>
  <c r="D261" i="1"/>
  <c r="D262" i="1"/>
  <c r="D139" i="1"/>
  <c r="D140" i="1"/>
  <c r="D147" i="1"/>
  <c r="D256" i="1"/>
  <c r="D257" i="1"/>
  <c r="D102" i="1"/>
  <c r="D103" i="1"/>
  <c r="D258" i="1"/>
  <c r="D68" i="1"/>
  <c r="D69" i="1"/>
  <c r="D70" i="1"/>
  <c r="D71" i="1"/>
  <c r="D166" i="10"/>
  <c r="D167" i="10"/>
  <c r="D168" i="10"/>
  <c r="D169" i="10"/>
  <c r="D170" i="10"/>
  <c r="D171" i="10"/>
  <c r="D172" i="10"/>
  <c r="D173" i="10"/>
  <c r="D174" i="10"/>
  <c r="D175" i="10"/>
  <c r="D176" i="10"/>
  <c r="D177" i="10"/>
  <c r="D178" i="10"/>
  <c r="D179" i="10"/>
  <c r="D180" i="10"/>
  <c r="D181" i="10"/>
  <c r="D182" i="10"/>
  <c r="D183" i="10"/>
  <c r="D184" i="10"/>
  <c r="D185" i="10"/>
  <c r="D186" i="10"/>
  <c r="AF96" i="1"/>
  <c r="AF95" i="1"/>
  <c r="AF94" i="1"/>
  <c r="AF142" i="1"/>
  <c r="AF117" i="1"/>
  <c r="AF92" i="1"/>
  <c r="AF93" i="1"/>
  <c r="D263" i="1"/>
  <c r="D141" i="1"/>
  <c r="D264" i="1"/>
  <c r="D142" i="1"/>
  <c r="D234" i="1"/>
  <c r="D117" i="1"/>
  <c r="D92" i="1"/>
  <c r="D93" i="1"/>
  <c r="D94" i="1"/>
  <c r="D95" i="1"/>
  <c r="D96" i="1"/>
  <c r="D227" i="1"/>
  <c r="D104" i="1"/>
  <c r="D253" i="1"/>
  <c r="D254" i="1"/>
  <c r="D105" i="1"/>
  <c r="AF88" i="1"/>
  <c r="AF89" i="1"/>
  <c r="AF90" i="1"/>
  <c r="AF91" i="1"/>
  <c r="AF148" i="1"/>
  <c r="AF149" i="1"/>
  <c r="AF118" i="1"/>
  <c r="AF99" i="1"/>
  <c r="AF100" i="1"/>
  <c r="AF101" i="1"/>
  <c r="AF138" i="1"/>
  <c r="AF141" i="1"/>
  <c r="M101" i="1"/>
  <c r="N101" i="1"/>
  <c r="P101" i="1"/>
  <c r="R101" i="1"/>
  <c r="M260" i="1"/>
  <c r="N260" i="1"/>
  <c r="R260" i="1"/>
  <c r="M138" i="1"/>
  <c r="N138" i="1"/>
  <c r="R138" i="1"/>
  <c r="M263" i="1"/>
  <c r="N263" i="1"/>
  <c r="P263" i="1"/>
  <c r="R263" i="1"/>
  <c r="M141" i="1"/>
  <c r="N141" i="1"/>
  <c r="P141" i="1"/>
  <c r="R141" i="1"/>
  <c r="M264" i="1"/>
  <c r="N264" i="1"/>
  <c r="R264" i="1"/>
  <c r="M142" i="1"/>
  <c r="N142" i="1"/>
  <c r="R142" i="1"/>
  <c r="M234" i="1"/>
  <c r="N234" i="1"/>
  <c r="P234" i="1"/>
  <c r="R234" i="1"/>
  <c r="M117" i="1"/>
  <c r="N117" i="1"/>
  <c r="P117" i="1"/>
  <c r="R117" i="1"/>
  <c r="M92" i="1"/>
  <c r="N92" i="1"/>
  <c r="R92" i="1"/>
  <c r="M93" i="1"/>
  <c r="N93" i="1"/>
  <c r="R93" i="1"/>
  <c r="M94" i="1"/>
  <c r="N94" i="1"/>
  <c r="P94" i="1"/>
  <c r="R94" i="1"/>
  <c r="M95" i="1"/>
  <c r="N95" i="1"/>
  <c r="P95" i="1"/>
  <c r="R95" i="1"/>
  <c r="M96" i="1"/>
  <c r="N96" i="1"/>
  <c r="R96" i="1"/>
  <c r="M227" i="1"/>
  <c r="N227" i="1"/>
  <c r="R227" i="1"/>
  <c r="M104" i="1"/>
  <c r="N104" i="1"/>
  <c r="P104" i="1"/>
  <c r="R104" i="1"/>
  <c r="M253" i="1"/>
  <c r="N253" i="1"/>
  <c r="R253" i="1"/>
  <c r="M254" i="1"/>
  <c r="N254" i="1"/>
  <c r="P254" i="1"/>
  <c r="R254" i="1"/>
  <c r="M105" i="1"/>
  <c r="N105" i="1"/>
  <c r="P105" i="1"/>
  <c r="R105" i="1"/>
  <c r="M259" i="1"/>
  <c r="N259" i="1"/>
  <c r="R259" i="1"/>
  <c r="M106" i="1"/>
  <c r="N106" i="1"/>
  <c r="R106" i="1"/>
  <c r="M261" i="1"/>
  <c r="N261" i="1"/>
  <c r="P261" i="1"/>
  <c r="R261" i="1"/>
  <c r="M262" i="1"/>
  <c r="N262" i="1"/>
  <c r="P262" i="1"/>
  <c r="R262" i="1"/>
  <c r="M139" i="1"/>
  <c r="N139" i="1"/>
  <c r="R139" i="1"/>
  <c r="M140" i="1"/>
  <c r="N140" i="1"/>
  <c r="P140" i="1"/>
  <c r="R140" i="1"/>
  <c r="M147" i="1"/>
  <c r="N147" i="1"/>
  <c r="P147" i="1"/>
  <c r="R147" i="1"/>
  <c r="M100" i="1"/>
  <c r="R100" i="1"/>
  <c r="N100" i="1"/>
  <c r="M99" i="1"/>
  <c r="R99" i="1"/>
  <c r="N99" i="1"/>
  <c r="M255" i="1"/>
  <c r="P255" i="1"/>
  <c r="R255" i="1"/>
  <c r="N255" i="1"/>
  <c r="M118" i="1"/>
  <c r="R118" i="1"/>
  <c r="P118" i="1"/>
  <c r="N118" i="1"/>
  <c r="M104" i="10"/>
  <c r="N104" i="10"/>
  <c r="P104" i="10"/>
  <c r="R104" i="10"/>
  <c r="M105" i="10"/>
  <c r="N105" i="10"/>
  <c r="P105" i="10"/>
  <c r="R105" i="10"/>
  <c r="M106" i="10"/>
  <c r="N106" i="10"/>
  <c r="P106" i="10"/>
  <c r="R106" i="10"/>
  <c r="M107" i="10"/>
  <c r="N107" i="10"/>
  <c r="P107" i="10"/>
  <c r="R107" i="10"/>
  <c r="M108" i="10"/>
  <c r="N108" i="10"/>
  <c r="P108" i="10"/>
  <c r="R108" i="10"/>
  <c r="M109" i="10"/>
  <c r="N109" i="10"/>
  <c r="P109" i="10"/>
  <c r="R109" i="10"/>
  <c r="M110" i="10"/>
  <c r="N110" i="10"/>
  <c r="P110" i="10"/>
  <c r="R110" i="10"/>
  <c r="M111" i="10"/>
  <c r="N111" i="10"/>
  <c r="P111" i="10"/>
  <c r="R111" i="10"/>
  <c r="M112" i="10"/>
  <c r="N112" i="10"/>
  <c r="P112" i="10"/>
  <c r="R112" i="10"/>
  <c r="M113" i="10"/>
  <c r="N113" i="10"/>
  <c r="P113" i="10"/>
  <c r="R113" i="10"/>
  <c r="M114" i="10"/>
  <c r="N114" i="10"/>
  <c r="P114" i="10"/>
  <c r="R114" i="10"/>
  <c r="M115" i="10"/>
  <c r="N115" i="10"/>
  <c r="P115" i="10"/>
  <c r="R115" i="10"/>
  <c r="M116" i="10"/>
  <c r="N116" i="10"/>
  <c r="P116" i="10"/>
  <c r="R116" i="10"/>
  <c r="M117" i="10"/>
  <c r="N117" i="10"/>
  <c r="P117" i="10"/>
  <c r="R117" i="10"/>
  <c r="M118" i="10"/>
  <c r="N118" i="10"/>
  <c r="P118" i="10"/>
  <c r="R118" i="10"/>
  <c r="M119" i="10"/>
  <c r="N119" i="10"/>
  <c r="P119" i="10"/>
  <c r="R119" i="10"/>
  <c r="M120" i="10"/>
  <c r="N120" i="10"/>
  <c r="P120" i="10"/>
  <c r="R120" i="10"/>
  <c r="M121" i="10"/>
  <c r="N121" i="10"/>
  <c r="P121" i="10"/>
  <c r="R121" i="10"/>
  <c r="M122" i="10"/>
  <c r="N122" i="10"/>
  <c r="P122" i="10"/>
  <c r="R122" i="10"/>
  <c r="M123" i="10"/>
  <c r="N123" i="10"/>
  <c r="P123" i="10"/>
  <c r="R123" i="10"/>
  <c r="M124" i="10"/>
  <c r="N124" i="10"/>
  <c r="P124" i="10"/>
  <c r="R124" i="10"/>
  <c r="M125" i="10"/>
  <c r="N125" i="10"/>
  <c r="P125" i="10"/>
  <c r="R125" i="10"/>
  <c r="M126" i="10"/>
  <c r="N126" i="10"/>
  <c r="P126" i="10"/>
  <c r="R126" i="10"/>
  <c r="M127" i="10"/>
  <c r="N127" i="10"/>
  <c r="P127" i="10"/>
  <c r="R127" i="10"/>
  <c r="M128" i="10"/>
  <c r="N128" i="10"/>
  <c r="P128" i="10"/>
  <c r="R128" i="10"/>
  <c r="M129" i="10"/>
  <c r="N129" i="10"/>
  <c r="P129" i="10"/>
  <c r="R129" i="10"/>
  <c r="M130" i="10"/>
  <c r="N130" i="10"/>
  <c r="P130" i="10"/>
  <c r="R130" i="10"/>
  <c r="M131" i="10"/>
  <c r="N131" i="10"/>
  <c r="P131" i="10"/>
  <c r="R131" i="10"/>
  <c r="M132" i="10"/>
  <c r="N132" i="10"/>
  <c r="P132" i="10"/>
  <c r="R132" i="10"/>
  <c r="M133" i="10"/>
  <c r="N133" i="10"/>
  <c r="P133" i="10"/>
  <c r="R133" i="10"/>
  <c r="M134" i="10"/>
  <c r="N134" i="10"/>
  <c r="P134" i="10"/>
  <c r="R134" i="10"/>
  <c r="M135" i="10"/>
  <c r="N135" i="10"/>
  <c r="P135" i="10"/>
  <c r="R135" i="10"/>
  <c r="M136" i="10"/>
  <c r="N136" i="10"/>
  <c r="P136" i="10"/>
  <c r="R136" i="10"/>
  <c r="M137" i="10"/>
  <c r="N137" i="10"/>
  <c r="P137" i="10"/>
  <c r="R137" i="10"/>
  <c r="M138" i="10"/>
  <c r="N138" i="10"/>
  <c r="P138" i="10"/>
  <c r="R138" i="10"/>
  <c r="M139" i="10"/>
  <c r="N139" i="10"/>
  <c r="P139" i="10"/>
  <c r="R139" i="10"/>
  <c r="M140" i="10"/>
  <c r="N140" i="10"/>
  <c r="P140" i="10"/>
  <c r="R140" i="10"/>
  <c r="M141" i="10"/>
  <c r="N141" i="10"/>
  <c r="P141" i="10"/>
  <c r="R141" i="10"/>
  <c r="M142" i="10"/>
  <c r="N142" i="10"/>
  <c r="P142" i="10"/>
  <c r="R142" i="10"/>
  <c r="M143" i="10"/>
  <c r="N143" i="10"/>
  <c r="P143" i="10"/>
  <c r="R143" i="10"/>
  <c r="M144" i="10"/>
  <c r="N144" i="10"/>
  <c r="P144" i="10"/>
  <c r="R144" i="10"/>
  <c r="M145" i="10"/>
  <c r="N145" i="10"/>
  <c r="P145" i="10"/>
  <c r="R145" i="10"/>
  <c r="M146" i="10"/>
  <c r="N146" i="10"/>
  <c r="P146" i="10"/>
  <c r="R146" i="10"/>
  <c r="M147" i="10"/>
  <c r="N147" i="10"/>
  <c r="P147" i="10"/>
  <c r="R147" i="10"/>
  <c r="M148" i="10"/>
  <c r="N148" i="10"/>
  <c r="P148" i="10"/>
  <c r="R148" i="10"/>
  <c r="M149" i="10"/>
  <c r="N149" i="10"/>
  <c r="P149" i="10"/>
  <c r="R149" i="10"/>
  <c r="M150" i="10"/>
  <c r="N150" i="10"/>
  <c r="P150" i="10"/>
  <c r="R150" i="10"/>
  <c r="M151" i="10"/>
  <c r="N151" i="10"/>
  <c r="P151" i="10"/>
  <c r="R151" i="10"/>
  <c r="M152" i="10"/>
  <c r="N152" i="10"/>
  <c r="P152" i="10"/>
  <c r="R152" i="10"/>
  <c r="M153" i="10"/>
  <c r="N153" i="10"/>
  <c r="P153" i="10"/>
  <c r="R153" i="10"/>
  <c r="M154" i="10"/>
  <c r="N154" i="10"/>
  <c r="P154" i="10"/>
  <c r="R154" i="10"/>
  <c r="M155" i="10"/>
  <c r="N155" i="10"/>
  <c r="P155" i="10"/>
  <c r="R155" i="10"/>
  <c r="M156" i="10"/>
  <c r="N156" i="10"/>
  <c r="P156" i="10"/>
  <c r="R156" i="10"/>
  <c r="M157" i="10"/>
  <c r="N157" i="10"/>
  <c r="P157" i="10"/>
  <c r="R157" i="10"/>
  <c r="M158" i="10"/>
  <c r="N158" i="10"/>
  <c r="P158" i="10"/>
  <c r="R158" i="10"/>
  <c r="M159" i="10"/>
  <c r="N159" i="10"/>
  <c r="P159" i="10"/>
  <c r="R159" i="10"/>
  <c r="M160" i="10"/>
  <c r="N160" i="10"/>
  <c r="P160" i="10"/>
  <c r="R160" i="10"/>
  <c r="M161" i="10"/>
  <c r="N161" i="10"/>
  <c r="P161" i="10"/>
  <c r="R161" i="10"/>
  <c r="M162" i="10"/>
  <c r="N162" i="10"/>
  <c r="P162" i="10"/>
  <c r="R162" i="10"/>
  <c r="M163" i="10"/>
  <c r="N163" i="10"/>
  <c r="P163" i="10"/>
  <c r="R163" i="10"/>
  <c r="M164" i="10"/>
  <c r="N164" i="10"/>
  <c r="P164" i="10"/>
  <c r="R164" i="10"/>
  <c r="M165" i="10"/>
  <c r="N165" i="10"/>
  <c r="P165" i="10"/>
  <c r="R165"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10" i="10"/>
  <c r="D109" i="10"/>
  <c r="D108" i="10"/>
  <c r="D107" i="10"/>
  <c r="M149" i="1"/>
  <c r="R149" i="1"/>
  <c r="P149" i="1"/>
  <c r="N149" i="1"/>
  <c r="M148" i="1"/>
  <c r="R148" i="1"/>
  <c r="P148" i="1"/>
  <c r="N148" i="1"/>
  <c r="P91" i="1"/>
  <c r="R91" i="1"/>
  <c r="M91" i="1"/>
  <c r="N91" i="1"/>
  <c r="P90" i="1"/>
  <c r="R90" i="1"/>
  <c r="M90" i="1"/>
  <c r="N90" i="1"/>
  <c r="P251" i="1"/>
  <c r="R251" i="1"/>
  <c r="M251" i="1"/>
  <c r="N251" i="1"/>
  <c r="P89" i="1"/>
  <c r="R89" i="1"/>
  <c r="M89" i="1"/>
  <c r="N89" i="1"/>
  <c r="D89" i="1"/>
  <c r="D251" i="1"/>
  <c r="D90" i="1"/>
  <c r="D91" i="1"/>
  <c r="D148" i="1"/>
  <c r="D149" i="1"/>
  <c r="D118" i="1"/>
  <c r="D255" i="1"/>
  <c r="D99" i="1"/>
  <c r="D100" i="1"/>
  <c r="D101" i="1"/>
  <c r="D260" i="1"/>
  <c r="D138" i="1"/>
  <c r="R103" i="10"/>
  <c r="P103" i="10"/>
  <c r="N103" i="10"/>
  <c r="M103" i="10"/>
  <c r="D103" i="10"/>
  <c r="P88" i="1"/>
  <c r="R88" i="1"/>
  <c r="M88" i="1"/>
  <c r="N88" i="1"/>
  <c r="P102" i="10"/>
  <c r="N102" i="10"/>
  <c r="P101" i="10"/>
  <c r="N101" i="10"/>
  <c r="P100" i="10"/>
  <c r="N100" i="10"/>
  <c r="P99" i="10"/>
  <c r="N99" i="10"/>
  <c r="P98" i="10"/>
  <c r="N98" i="10"/>
  <c r="P97" i="10"/>
  <c r="N97" i="10"/>
  <c r="P96" i="10"/>
  <c r="N96" i="10"/>
  <c r="P95" i="10"/>
  <c r="D90" i="10"/>
  <c r="D223" i="1"/>
  <c r="R223" i="1"/>
  <c r="P223" i="1"/>
  <c r="N223" i="1"/>
  <c r="M223" i="1"/>
  <c r="AF87" i="1"/>
  <c r="AF119" i="1"/>
  <c r="N222" i="1"/>
  <c r="P222" i="1"/>
  <c r="R222" i="1"/>
  <c r="N224" i="1"/>
  <c r="P224" i="1"/>
  <c r="R224" i="1"/>
  <c r="N225" i="1"/>
  <c r="P225" i="1"/>
  <c r="R225" i="1"/>
  <c r="N226" i="1"/>
  <c r="P226" i="1"/>
  <c r="R226" i="1"/>
  <c r="N87" i="1"/>
  <c r="P87" i="1"/>
  <c r="R87" i="1"/>
  <c r="N119" i="1"/>
  <c r="P119" i="1"/>
  <c r="R119" i="1"/>
  <c r="N250" i="1"/>
  <c r="P250" i="1"/>
  <c r="R250" i="1"/>
  <c r="M222" i="1"/>
  <c r="M224" i="1"/>
  <c r="M225" i="1"/>
  <c r="M226" i="1"/>
  <c r="M87" i="1"/>
  <c r="M119" i="1"/>
  <c r="M250" i="1"/>
  <c r="R87" i="10"/>
  <c r="R88" i="10"/>
  <c r="R89" i="10"/>
  <c r="R91" i="10"/>
  <c r="R92" i="10"/>
  <c r="R93" i="10"/>
  <c r="R94" i="10"/>
  <c r="P87" i="10"/>
  <c r="P88" i="10"/>
  <c r="P89" i="10"/>
  <c r="P91" i="10"/>
  <c r="P92" i="10"/>
  <c r="P93" i="10"/>
  <c r="P94" i="10"/>
  <c r="N87" i="10"/>
  <c r="O87" i="10"/>
  <c r="N88" i="10"/>
  <c r="O88" i="10"/>
  <c r="N89" i="10"/>
  <c r="O89" i="10"/>
  <c r="N91" i="10"/>
  <c r="O91" i="10"/>
  <c r="N92" i="10"/>
  <c r="O92" i="10"/>
  <c r="N93" i="10"/>
  <c r="O93" i="10"/>
  <c r="N94" i="10"/>
  <c r="O94" i="10"/>
  <c r="N95" i="10"/>
  <c r="O95" i="10"/>
  <c r="O83" i="10"/>
  <c r="O84" i="10"/>
  <c r="O85" i="10"/>
  <c r="O86" i="10"/>
  <c r="M87" i="10"/>
  <c r="M88" i="10"/>
  <c r="M89" i="10"/>
  <c r="M91" i="10"/>
  <c r="M92" i="10"/>
  <c r="D222" i="1"/>
  <c r="D224" i="1"/>
  <c r="D225" i="1"/>
  <c r="D226" i="1"/>
  <c r="D87" i="1"/>
  <c r="D119" i="1"/>
  <c r="D250" i="1"/>
  <c r="D88" i="1"/>
  <c r="M83" i="1"/>
  <c r="R83" i="1"/>
  <c r="P83" i="1"/>
  <c r="N83" i="1"/>
  <c r="AF82" i="1"/>
  <c r="M82" i="1"/>
  <c r="R82" i="1"/>
  <c r="P82" i="1"/>
  <c r="N82" i="1"/>
  <c r="AF85" i="1"/>
  <c r="AF86" i="1"/>
  <c r="AF81" i="1"/>
  <c r="AF83" i="1"/>
  <c r="M81" i="1"/>
  <c r="R81" i="1"/>
  <c r="P81" i="1"/>
  <c r="N81" i="1"/>
  <c r="M239" i="1"/>
  <c r="R239" i="1"/>
  <c r="P239" i="1"/>
  <c r="N239" i="1"/>
  <c r="M120" i="1"/>
  <c r="R120" i="1"/>
  <c r="P120" i="1"/>
  <c r="N120" i="1"/>
  <c r="M86" i="1"/>
  <c r="R86" i="1"/>
  <c r="P86" i="1"/>
  <c r="N86" i="1"/>
  <c r="M85" i="1"/>
  <c r="P85" i="1"/>
  <c r="N85" i="1"/>
  <c r="D86" i="1"/>
  <c r="D120" i="1"/>
  <c r="D239" i="1"/>
  <c r="D81" i="1"/>
  <c r="D82" i="1"/>
  <c r="D83" i="1"/>
  <c r="M84" i="1"/>
  <c r="P84" i="1"/>
  <c r="N84" i="1"/>
  <c r="M238" i="1"/>
  <c r="P238" i="1"/>
  <c r="N238" i="1"/>
  <c r="M237" i="1"/>
  <c r="P237" i="1"/>
  <c r="N237" i="1"/>
  <c r="D237" i="1"/>
  <c r="D238" i="1"/>
  <c r="D84" i="1"/>
  <c r="D85" i="1"/>
  <c r="M32" i="1"/>
  <c r="P32" i="1"/>
  <c r="N32" i="1"/>
  <c r="D32" i="1"/>
  <c r="M233" i="1"/>
  <c r="P233" i="1"/>
  <c r="N233" i="1"/>
  <c r="D233" i="1"/>
  <c r="M232" i="1"/>
  <c r="D232" i="1"/>
  <c r="R76" i="1"/>
  <c r="R231" i="1"/>
  <c r="R232" i="1"/>
  <c r="R233" i="1"/>
  <c r="R32" i="1"/>
  <c r="R237" i="1"/>
  <c r="R238" i="1"/>
  <c r="R84" i="1"/>
  <c r="R85" i="1"/>
  <c r="D231" i="1"/>
  <c r="D76" i="1"/>
  <c r="AF79" i="1"/>
  <c r="AF80" i="1"/>
  <c r="AF76" i="1"/>
  <c r="N79" i="1"/>
  <c r="P79" i="1"/>
  <c r="R79" i="1"/>
  <c r="N80" i="1"/>
  <c r="P80" i="1"/>
  <c r="R80" i="1"/>
  <c r="N135" i="1"/>
  <c r="P135" i="1"/>
  <c r="R135" i="1"/>
  <c r="N236" i="1"/>
  <c r="P236" i="1"/>
  <c r="R236" i="1"/>
  <c r="N76" i="1"/>
  <c r="P76" i="1"/>
  <c r="N231" i="1"/>
  <c r="P231" i="1"/>
  <c r="N232" i="1"/>
  <c r="P232" i="1"/>
  <c r="M79" i="1"/>
  <c r="M80" i="1"/>
  <c r="M135" i="1"/>
  <c r="M236" i="1"/>
  <c r="M76" i="1"/>
  <c r="M231" i="1"/>
  <c r="AF78" i="1"/>
  <c r="AF121" i="1"/>
  <c r="D79" i="1"/>
  <c r="D80" i="1"/>
  <c r="D135" i="1"/>
  <c r="D236" i="1"/>
  <c r="D88" i="10"/>
  <c r="D87" i="10"/>
  <c r="D79" i="10"/>
  <c r="M79" i="10"/>
  <c r="N79" i="10"/>
  <c r="P79" i="10"/>
  <c r="R79" i="10"/>
  <c r="D80" i="10"/>
  <c r="M80" i="10"/>
  <c r="N80" i="10"/>
  <c r="P80" i="10"/>
  <c r="R80" i="10"/>
  <c r="D81" i="10"/>
  <c r="M81" i="10"/>
  <c r="N81" i="10"/>
  <c r="P81" i="10"/>
  <c r="R81" i="10"/>
  <c r="D82" i="10"/>
  <c r="M82" i="10"/>
  <c r="N82" i="10"/>
  <c r="P82" i="10"/>
  <c r="R82" i="10"/>
  <c r="D83" i="10"/>
  <c r="M83" i="10"/>
  <c r="N83" i="10"/>
  <c r="P83" i="10"/>
  <c r="R83" i="10"/>
  <c r="D84" i="10"/>
  <c r="M84" i="10"/>
  <c r="N84" i="10"/>
  <c r="P84" i="10"/>
  <c r="R84" i="10"/>
  <c r="D85" i="10"/>
  <c r="M85" i="10"/>
  <c r="N85" i="10"/>
  <c r="P85" i="10"/>
  <c r="R85" i="10"/>
  <c r="D86" i="10"/>
  <c r="M86" i="10"/>
  <c r="N86" i="10"/>
  <c r="P86" i="10"/>
  <c r="R86" i="10"/>
  <c r="D78" i="10"/>
  <c r="M78" i="10"/>
  <c r="N78" i="10"/>
  <c r="P78" i="10"/>
  <c r="R78" i="10"/>
  <c r="D121" i="1"/>
  <c r="M121" i="1"/>
  <c r="N121" i="1"/>
  <c r="P121" i="1"/>
  <c r="R121" i="1"/>
  <c r="D78" i="1"/>
  <c r="M78" i="1"/>
  <c r="N78" i="1"/>
  <c r="P78" i="1"/>
  <c r="R78" i="1"/>
  <c r="D77" i="10"/>
  <c r="M77" i="10"/>
  <c r="N77" i="10"/>
  <c r="P77" i="10"/>
  <c r="R77" i="10"/>
  <c r="AF77" i="10"/>
  <c r="AL77" i="10"/>
  <c r="D75" i="10"/>
  <c r="M75" i="10"/>
  <c r="N75" i="10"/>
  <c r="P75" i="10"/>
  <c r="R75" i="10"/>
  <c r="AF75" i="10"/>
  <c r="AL75" i="10"/>
  <c r="D76" i="10"/>
  <c r="M76" i="10"/>
  <c r="N76" i="10"/>
  <c r="P76" i="10"/>
  <c r="R76" i="10"/>
  <c r="AF76" i="10"/>
  <c r="AL76" i="10"/>
  <c r="D74" i="10"/>
  <c r="M74" i="10"/>
  <c r="N74" i="10"/>
  <c r="P74" i="10"/>
  <c r="R74" i="10"/>
  <c r="AF74" i="10"/>
  <c r="AL74" i="10"/>
  <c r="R66" i="10"/>
  <c r="R67" i="10"/>
  <c r="R68" i="10"/>
  <c r="R69" i="10"/>
  <c r="R70" i="10"/>
  <c r="R71" i="10"/>
  <c r="R72" i="10"/>
  <c r="R73" i="10"/>
  <c r="P71" i="10"/>
  <c r="P72" i="10"/>
  <c r="P73" i="10"/>
  <c r="N71" i="10"/>
  <c r="N72" i="10"/>
  <c r="N73" i="10"/>
  <c r="M65" i="10"/>
  <c r="M66" i="10"/>
  <c r="M67" i="10"/>
  <c r="M68" i="10"/>
  <c r="M69" i="10"/>
  <c r="M70" i="10"/>
  <c r="M71" i="10"/>
  <c r="M72" i="10"/>
  <c r="M73" i="10"/>
  <c r="P70" i="10"/>
  <c r="N70" i="10"/>
  <c r="D70" i="10"/>
  <c r="D71" i="10"/>
  <c r="D72" i="10"/>
  <c r="D73" i="10"/>
  <c r="D89" i="10"/>
  <c r="D91" i="10"/>
  <c r="D92" i="10"/>
  <c r="D93" i="10"/>
  <c r="D94" i="10"/>
  <c r="D95" i="10"/>
  <c r="D96" i="10"/>
  <c r="D97" i="10"/>
  <c r="D98" i="10"/>
  <c r="D99" i="10"/>
  <c r="D100" i="10"/>
  <c r="D101" i="10"/>
  <c r="D102" i="10"/>
  <c r="D104" i="10"/>
  <c r="D105" i="10"/>
  <c r="D106" i="10"/>
  <c r="P69" i="10"/>
  <c r="N69" i="10"/>
  <c r="P68" i="10"/>
  <c r="N68" i="10"/>
  <c r="P67" i="10"/>
  <c r="N67" i="10"/>
  <c r="P66" i="10"/>
  <c r="N66" i="10"/>
  <c r="AF143" i="1"/>
  <c r="AF144" i="1"/>
  <c r="AF122" i="1"/>
  <c r="AF64" i="1"/>
  <c r="AF133" i="1"/>
  <c r="R221" i="1"/>
  <c r="R143" i="1"/>
  <c r="R144" i="1"/>
  <c r="R122" i="1"/>
  <c r="R64" i="1"/>
  <c r="R133" i="1"/>
  <c r="R77" i="1"/>
  <c r="P221" i="1"/>
  <c r="P143" i="1"/>
  <c r="P144" i="1"/>
  <c r="P122" i="1"/>
  <c r="P64" i="1"/>
  <c r="P133" i="1"/>
  <c r="P77" i="1"/>
  <c r="N143" i="1"/>
  <c r="N144" i="1"/>
  <c r="N122" i="1"/>
  <c r="N64" i="1"/>
  <c r="N133" i="1"/>
  <c r="N77" i="1"/>
  <c r="M143" i="1"/>
  <c r="M144" i="1"/>
  <c r="M122" i="1"/>
  <c r="M64" i="1"/>
  <c r="M133" i="1"/>
  <c r="M77" i="1"/>
  <c r="D143" i="1"/>
  <c r="D144" i="1"/>
  <c r="D122" i="1"/>
  <c r="D64" i="1"/>
  <c r="D133" i="1"/>
  <c r="D77" i="1"/>
  <c r="P65" i="10"/>
  <c r="R65" i="10"/>
  <c r="N65" i="10"/>
  <c r="R64" i="10"/>
  <c r="P64" i="10"/>
  <c r="M64" i="10"/>
  <c r="N64" i="10"/>
  <c r="M63" i="10"/>
  <c r="P63" i="10"/>
  <c r="N63" i="10"/>
  <c r="R63" i="10"/>
  <c r="M62" i="10"/>
  <c r="R62" i="10"/>
  <c r="P62" i="10"/>
  <c r="N62" i="10"/>
  <c r="P61" i="10"/>
  <c r="N61" i="10"/>
  <c r="R61" i="10"/>
  <c r="M61" i="10"/>
  <c r="P60" i="10"/>
  <c r="R60" i="10"/>
  <c r="M60" i="10"/>
  <c r="N60" i="10"/>
  <c r="M59" i="10"/>
  <c r="R59" i="10"/>
  <c r="P59" i="10"/>
  <c r="N59" i="10"/>
  <c r="M58" i="10"/>
  <c r="P58" i="10"/>
  <c r="R58" i="10"/>
  <c r="N58" i="10"/>
  <c r="M57" i="10"/>
  <c r="R57" i="10"/>
  <c r="P57" i="10"/>
  <c r="N57" i="10"/>
  <c r="D57" i="10"/>
  <c r="D58" i="10"/>
  <c r="D59" i="10"/>
  <c r="D60" i="10"/>
  <c r="D61" i="10"/>
  <c r="D62" i="10"/>
  <c r="D63" i="10"/>
  <c r="D64" i="10"/>
  <c r="D65" i="10"/>
  <c r="D66" i="10"/>
  <c r="D67" i="10"/>
  <c r="D68" i="10"/>
  <c r="D69" i="10"/>
  <c r="D56" i="10"/>
  <c r="M56" i="10"/>
  <c r="N56" i="10"/>
  <c r="P56" i="10"/>
  <c r="R56" i="10"/>
  <c r="AF56" i="10"/>
  <c r="AL56" i="10"/>
  <c r="BJ56" i="10"/>
  <c r="D55" i="10"/>
  <c r="M55" i="10"/>
  <c r="N55" i="10"/>
  <c r="P55" i="10"/>
  <c r="R55" i="10"/>
  <c r="D54" i="10"/>
  <c r="M54" i="10"/>
  <c r="N54" i="10"/>
  <c r="P54" i="10"/>
  <c r="R54" i="10"/>
  <c r="D53" i="10"/>
  <c r="M53" i="10"/>
  <c r="N53" i="10"/>
  <c r="P53" i="10"/>
  <c r="R53" i="10"/>
  <c r="D52" i="10"/>
  <c r="M52" i="10"/>
  <c r="N52" i="10"/>
  <c r="P52" i="10"/>
  <c r="R52" i="10"/>
  <c r="D51" i="10"/>
  <c r="M51" i="10"/>
  <c r="N51" i="10"/>
  <c r="P51" i="10"/>
  <c r="R51" i="10"/>
  <c r="D50" i="10"/>
  <c r="M50" i="10"/>
  <c r="N50" i="10"/>
  <c r="P50" i="10"/>
  <c r="R50" i="10"/>
  <c r="D49" i="10"/>
  <c r="M49" i="10"/>
  <c r="N49" i="10"/>
  <c r="P49" i="10"/>
  <c r="R49" i="10"/>
  <c r="D48" i="10"/>
  <c r="M48" i="10"/>
  <c r="N48" i="10"/>
  <c r="P48" i="10"/>
  <c r="R48" i="10"/>
  <c r="D47" i="10"/>
  <c r="M47" i="10"/>
  <c r="N47" i="10"/>
  <c r="P47" i="10"/>
  <c r="R47" i="10"/>
  <c r="D46" i="10"/>
  <c r="M46" i="10"/>
  <c r="N46" i="10"/>
  <c r="P46" i="10"/>
  <c r="R46" i="10"/>
  <c r="D45" i="10"/>
  <c r="M45" i="10"/>
  <c r="N45" i="10"/>
  <c r="P45" i="10"/>
  <c r="R45" i="10"/>
  <c r="D44" i="10"/>
  <c r="M44" i="10"/>
  <c r="N44" i="10"/>
  <c r="P44" i="10"/>
  <c r="R44" i="10"/>
  <c r="D43" i="10"/>
  <c r="M43" i="10"/>
  <c r="N43" i="10"/>
  <c r="P43" i="10"/>
  <c r="R43" i="10"/>
  <c r="D42" i="10"/>
  <c r="M42" i="10"/>
  <c r="N42" i="10"/>
  <c r="P42" i="10"/>
  <c r="R42" i="10"/>
  <c r="D41" i="10"/>
  <c r="M41" i="10"/>
  <c r="N41" i="10"/>
  <c r="P41" i="10"/>
  <c r="R41" i="10"/>
  <c r="D40" i="10"/>
  <c r="M40" i="10"/>
  <c r="N40" i="10"/>
  <c r="P40" i="10"/>
  <c r="R40" i="10"/>
  <c r="R39" i="10"/>
  <c r="P39" i="10"/>
  <c r="D221" i="1"/>
  <c r="D34" i="10"/>
  <c r="D35" i="10"/>
  <c r="D36" i="10"/>
  <c r="D37" i="10"/>
  <c r="D38" i="10"/>
  <c r="D39" i="10"/>
  <c r="N220" i="1"/>
  <c r="N221" i="1"/>
  <c r="M220" i="1"/>
  <c r="M221" i="1"/>
  <c r="R53" i="1"/>
  <c r="R220" i="1"/>
  <c r="P53" i="1"/>
  <c r="P220" i="1"/>
  <c r="M53" i="1"/>
  <c r="AF50" i="1"/>
  <c r="AF48" i="1"/>
  <c r="AF49" i="1"/>
  <c r="AF51" i="1"/>
  <c r="AF52" i="1"/>
  <c r="AF53" i="1"/>
  <c r="M52" i="1"/>
  <c r="P52" i="1"/>
  <c r="R52" i="1"/>
  <c r="D52" i="1"/>
  <c r="D53" i="1"/>
  <c r="D220" i="1"/>
  <c r="N42" i="1"/>
  <c r="N51" i="1"/>
  <c r="N52" i="1"/>
  <c r="N53" i="1"/>
  <c r="M51" i="1"/>
  <c r="P51" i="1"/>
  <c r="R51" i="1"/>
  <c r="R31" i="10"/>
  <c r="R32" i="10"/>
  <c r="R33" i="10"/>
  <c r="R34" i="10"/>
  <c r="R35" i="10"/>
  <c r="R36" i="10"/>
  <c r="R37" i="10"/>
  <c r="R38" i="10"/>
  <c r="N31" i="10"/>
  <c r="N32" i="10"/>
  <c r="N33" i="10"/>
  <c r="N34" i="10"/>
  <c r="N35" i="10"/>
  <c r="N36" i="10"/>
  <c r="N37" i="10"/>
  <c r="N38" i="10"/>
  <c r="N39" i="10"/>
  <c r="P30" i="10"/>
  <c r="P31" i="10"/>
  <c r="P32" i="10"/>
  <c r="P33" i="10"/>
  <c r="P34" i="10"/>
  <c r="P35" i="10"/>
  <c r="P36" i="10"/>
  <c r="P37" i="10"/>
  <c r="P38" i="10"/>
  <c r="M30" i="10"/>
  <c r="M31" i="10"/>
  <c r="M32" i="10"/>
  <c r="M33" i="10"/>
  <c r="M34" i="10"/>
  <c r="M35" i="10"/>
  <c r="M36" i="10"/>
  <c r="M37" i="10"/>
  <c r="M38" i="10"/>
  <c r="M39" i="10"/>
  <c r="R39" i="1"/>
  <c r="R40" i="1"/>
  <c r="R41" i="1"/>
  <c r="R42" i="1"/>
  <c r="P39" i="1"/>
  <c r="P40" i="1"/>
  <c r="P41" i="1"/>
  <c r="P42" i="1"/>
  <c r="N41" i="1"/>
  <c r="M39" i="1"/>
  <c r="M40" i="1"/>
  <c r="M41" i="1"/>
  <c r="M42" i="1"/>
  <c r="D39" i="1"/>
  <c r="D40" i="1"/>
  <c r="D41" i="1"/>
  <c r="D42" i="1"/>
  <c r="D51" i="1"/>
  <c r="M38" i="1"/>
  <c r="P38" i="1"/>
  <c r="R38" i="1"/>
  <c r="R203" i="1"/>
  <c r="M203" i="1"/>
  <c r="P203" i="1"/>
  <c r="N203" i="1"/>
  <c r="D201" i="1"/>
  <c r="D48" i="1"/>
  <c r="D49" i="1"/>
  <c r="D203" i="1"/>
  <c r="D38" i="1"/>
  <c r="M199" i="1"/>
  <c r="M50" i="1"/>
  <c r="M200" i="1"/>
  <c r="M201" i="1"/>
  <c r="M48" i="1"/>
  <c r="M49" i="1"/>
  <c r="P199" i="1"/>
  <c r="P50" i="1"/>
  <c r="P200" i="1"/>
  <c r="P201" i="1"/>
  <c r="P48" i="1"/>
  <c r="P49" i="1"/>
  <c r="R123" i="1"/>
  <c r="R199" i="1"/>
  <c r="R50" i="1"/>
  <c r="R200" i="1"/>
  <c r="R201" i="1"/>
  <c r="R48" i="1"/>
  <c r="R49" i="1"/>
  <c r="N199" i="1"/>
  <c r="N50" i="1"/>
  <c r="N200" i="1"/>
  <c r="N201" i="1"/>
  <c r="N48" i="1"/>
  <c r="N49" i="1"/>
  <c r="D50" i="1"/>
  <c r="D200" i="1"/>
  <c r="D29" i="10"/>
  <c r="D30" i="10"/>
  <c r="D31" i="10"/>
  <c r="D32" i="10"/>
  <c r="D33" i="10"/>
  <c r="P123" i="1"/>
  <c r="D128" i="1"/>
  <c r="D15" i="1"/>
  <c r="D196" i="1"/>
  <c r="D197" i="1"/>
  <c r="D198" i="1"/>
  <c r="D123" i="1"/>
  <c r="D199" i="1"/>
  <c r="M193" i="1"/>
  <c r="M194" i="1"/>
  <c r="M44" i="1"/>
  <c r="M195" i="1"/>
  <c r="M127" i="1"/>
  <c r="M128" i="1"/>
  <c r="M15" i="1"/>
  <c r="M196" i="1"/>
  <c r="M197" i="1"/>
  <c r="M198" i="1"/>
  <c r="M123" i="1"/>
  <c r="P192" i="1"/>
  <c r="P193" i="1"/>
  <c r="P194" i="1"/>
  <c r="P44" i="1"/>
  <c r="P195" i="1"/>
  <c r="P127" i="1"/>
  <c r="P128" i="1"/>
  <c r="P15" i="1"/>
  <c r="P196" i="1"/>
  <c r="P197" i="1"/>
  <c r="P198" i="1"/>
  <c r="R193" i="1"/>
  <c r="R194" i="1"/>
  <c r="R44" i="1"/>
  <c r="R195" i="1"/>
  <c r="R127" i="1"/>
  <c r="R128" i="1"/>
  <c r="R15" i="1"/>
  <c r="R196" i="1"/>
  <c r="R197" i="1"/>
  <c r="R198" i="1"/>
  <c r="N193" i="1"/>
  <c r="N194" i="1"/>
  <c r="N44" i="1"/>
  <c r="N195" i="1"/>
  <c r="N127" i="1"/>
  <c r="N128" i="1"/>
  <c r="N15" i="1"/>
  <c r="N196" i="1"/>
  <c r="N197" i="1"/>
  <c r="N198" i="1"/>
  <c r="N123" i="1"/>
  <c r="R26" i="10"/>
  <c r="R27" i="10"/>
  <c r="R28" i="10"/>
  <c r="R29" i="10"/>
  <c r="R30" i="10"/>
  <c r="P26" i="10"/>
  <c r="P27" i="10"/>
  <c r="P28" i="10"/>
  <c r="P29" i="10"/>
  <c r="N29" i="10"/>
  <c r="N30" i="10"/>
  <c r="AF44" i="1"/>
  <c r="AF127" i="1"/>
  <c r="AF128" i="1"/>
  <c r="R189" i="1"/>
  <c r="R43" i="1"/>
  <c r="R190" i="1"/>
  <c r="R45" i="1"/>
  <c r="R46" i="1"/>
  <c r="R47" i="1"/>
  <c r="R191" i="1"/>
  <c r="R192" i="1"/>
  <c r="N187" i="1"/>
  <c r="N188" i="1"/>
  <c r="N189" i="1"/>
  <c r="N43" i="1"/>
  <c r="N190" i="1"/>
  <c r="N45" i="1"/>
  <c r="N46" i="1"/>
  <c r="N47" i="1"/>
  <c r="N191" i="1"/>
  <c r="N192" i="1"/>
  <c r="M192" i="1"/>
  <c r="M191" i="1"/>
  <c r="P191" i="1"/>
  <c r="P47" i="1"/>
  <c r="M47" i="1"/>
  <c r="M46" i="1"/>
  <c r="P46" i="1"/>
  <c r="P45" i="1"/>
  <c r="M45" i="1"/>
  <c r="M190" i="1"/>
  <c r="P190" i="1"/>
  <c r="M43" i="1"/>
  <c r="P43" i="1"/>
  <c r="D43" i="1"/>
  <c r="D190" i="1"/>
  <c r="D45" i="1"/>
  <c r="D46" i="1"/>
  <c r="D47" i="1"/>
  <c r="D191" i="1"/>
  <c r="D192" i="1"/>
  <c r="D193" i="1"/>
  <c r="D194" i="1"/>
  <c r="D44" i="1"/>
  <c r="D195" i="1"/>
  <c r="D127" i="1"/>
  <c r="AF45" i="1"/>
  <c r="AF46" i="1"/>
  <c r="AF47" i="1"/>
  <c r="M189" i="1"/>
  <c r="P189" i="1"/>
  <c r="D185" i="1"/>
  <c r="D186" i="1"/>
  <c r="D187" i="1"/>
  <c r="D188" i="1"/>
  <c r="D189" i="1"/>
  <c r="R33" i="1"/>
  <c r="R34" i="1"/>
  <c r="R182" i="1"/>
  <c r="R183" i="1"/>
  <c r="R184" i="1"/>
  <c r="R185" i="1"/>
  <c r="R186" i="1"/>
  <c r="R187" i="1"/>
  <c r="R188" i="1"/>
  <c r="P34" i="1"/>
  <c r="P182" i="1"/>
  <c r="P183" i="1"/>
  <c r="P184" i="1"/>
  <c r="P185" i="1"/>
  <c r="P186" i="1"/>
  <c r="P187" i="1"/>
  <c r="P188" i="1"/>
  <c r="M33" i="1"/>
  <c r="M34" i="1"/>
  <c r="M182" i="1"/>
  <c r="M183" i="1"/>
  <c r="M184" i="1"/>
  <c r="M185" i="1"/>
  <c r="M186" i="1"/>
  <c r="M187" i="1"/>
  <c r="M188" i="1"/>
  <c r="N33" i="1"/>
  <c r="N34" i="1"/>
  <c r="N182" i="1"/>
  <c r="N183" i="1"/>
  <c r="N184" i="1"/>
  <c r="N185" i="1"/>
  <c r="N186" i="1"/>
  <c r="D34" i="1"/>
  <c r="D182" i="1"/>
  <c r="D183" i="1"/>
  <c r="D184" i="1"/>
  <c r="D23" i="10"/>
  <c r="D24" i="10"/>
  <c r="D25" i="10"/>
  <c r="D26" i="10"/>
  <c r="D27" i="10"/>
  <c r="D28" i="10"/>
  <c r="M23" i="10"/>
  <c r="N23" i="10"/>
  <c r="P23" i="10"/>
  <c r="R23" i="10"/>
  <c r="R18" i="10"/>
  <c r="R19" i="10"/>
  <c r="R20" i="10"/>
  <c r="R21" i="10"/>
  <c r="R22" i="10"/>
  <c r="R24" i="10"/>
  <c r="R25" i="10"/>
  <c r="P16" i="10"/>
  <c r="P17" i="10"/>
  <c r="P18" i="10"/>
  <c r="P19" i="10"/>
  <c r="P20" i="10"/>
  <c r="P21" i="10"/>
  <c r="P22" i="10"/>
  <c r="P24" i="10"/>
  <c r="P25" i="10"/>
  <c r="N17" i="10"/>
  <c r="N18" i="10"/>
  <c r="N19" i="10"/>
  <c r="N20" i="10"/>
  <c r="N22" i="10"/>
  <c r="N24" i="10"/>
  <c r="N25" i="10"/>
  <c r="N26" i="10"/>
  <c r="M18" i="10"/>
  <c r="M19" i="10"/>
  <c r="M20" i="10"/>
  <c r="M21" i="10"/>
  <c r="M22" i="10"/>
  <c r="M24" i="10"/>
  <c r="M25" i="10"/>
  <c r="M26" i="10"/>
  <c r="M27" i="10"/>
  <c r="D22" i="10"/>
  <c r="AF22" i="10"/>
  <c r="AL22" i="10"/>
  <c r="D21" i="10"/>
  <c r="AF21" i="10"/>
  <c r="AL21" i="10"/>
  <c r="N21" i="10"/>
  <c r="P179" i="1"/>
  <c r="M29" i="10"/>
  <c r="N28" i="10"/>
  <c r="M28" i="10"/>
  <c r="N27" i="10"/>
  <c r="D20" i="10"/>
  <c r="D19" i="10"/>
  <c r="D18" i="10"/>
  <c r="R17" i="10"/>
  <c r="M17" i="10"/>
  <c r="D17" i="10"/>
  <c r="R16" i="10"/>
  <c r="N16" i="10"/>
  <c r="M16" i="10"/>
  <c r="D16" i="10"/>
  <c r="R15" i="10"/>
  <c r="P15" i="10"/>
  <c r="N15" i="10"/>
  <c r="M15" i="10"/>
  <c r="D15" i="10"/>
  <c r="R14" i="10"/>
  <c r="P14" i="10"/>
  <c r="N14" i="10"/>
  <c r="M14" i="10"/>
  <c r="D14" i="10"/>
  <c r="R13" i="10"/>
  <c r="P13" i="10"/>
  <c r="N13" i="10"/>
  <c r="M13" i="10"/>
  <c r="D13" i="10"/>
  <c r="R12" i="10"/>
  <c r="P12" i="10"/>
  <c r="N12" i="10"/>
  <c r="M12" i="10"/>
  <c r="D12" i="10"/>
  <c r="R11" i="10"/>
  <c r="P11" i="10"/>
  <c r="N11" i="10"/>
  <c r="M11" i="10"/>
  <c r="D11" i="10"/>
  <c r="R10" i="10"/>
  <c r="P10" i="10"/>
  <c r="N10" i="10"/>
  <c r="M10" i="10"/>
  <c r="D10" i="10"/>
  <c r="R9" i="10"/>
  <c r="P9" i="10"/>
  <c r="N9" i="10"/>
  <c r="M9" i="10"/>
  <c r="D9" i="10"/>
  <c r="R8" i="10"/>
  <c r="P8" i="10"/>
  <c r="N8" i="10"/>
  <c r="D8" i="10"/>
  <c r="R7" i="10"/>
  <c r="P7" i="10"/>
  <c r="N7" i="10"/>
  <c r="M7" i="10"/>
  <c r="D7" i="10"/>
  <c r="R6" i="10"/>
  <c r="P6" i="10"/>
  <c r="N6" i="10"/>
  <c r="M6" i="10"/>
  <c r="D6" i="10"/>
  <c r="R5" i="10"/>
  <c r="P5" i="10"/>
  <c r="N5" i="10"/>
  <c r="M5" i="10"/>
  <c r="D5" i="10"/>
  <c r="R4" i="10"/>
  <c r="P4" i="10"/>
  <c r="N4" i="10"/>
  <c r="M4" i="10"/>
  <c r="D4" i="10"/>
  <c r="AF129" i="1"/>
  <c r="AF130" i="1"/>
  <c r="R131" i="1"/>
  <c r="R30" i="1"/>
  <c r="R129" i="1"/>
  <c r="R130" i="1"/>
  <c r="P30" i="1"/>
  <c r="P129" i="1"/>
  <c r="P130" i="1"/>
  <c r="P33" i="1"/>
  <c r="N28" i="1"/>
  <c r="N131" i="1"/>
  <c r="N30" i="1"/>
  <c r="N129" i="1"/>
  <c r="N130" i="1"/>
  <c r="M28" i="1"/>
  <c r="M131" i="1"/>
  <c r="M30" i="1"/>
  <c r="M129" i="1"/>
  <c r="M130" i="1"/>
  <c r="D30" i="1"/>
  <c r="D129" i="1"/>
  <c r="D130" i="1"/>
  <c r="D33" i="1"/>
  <c r="AF131" i="1"/>
  <c r="R27" i="1"/>
  <c r="R28" i="1"/>
  <c r="P27" i="1"/>
  <c r="P28" i="1"/>
  <c r="P131" i="1"/>
  <c r="N27" i="1"/>
  <c r="M27" i="1"/>
  <c r="D27" i="1"/>
  <c r="D28" i="1"/>
  <c r="D131" i="1"/>
  <c r="M181" i="1" l="1"/>
  <c r="R181" i="1"/>
  <c r="P181" i="1"/>
  <c r="N181" i="1"/>
  <c r="D180" i="1"/>
  <c r="M180" i="1"/>
  <c r="N180" i="1"/>
  <c r="P180" i="1"/>
  <c r="R180" i="1"/>
  <c r="D181" i="1"/>
  <c r="M24" i="1"/>
  <c r="P24" i="1"/>
  <c r="R24" i="1"/>
  <c r="N24" i="1"/>
  <c r="M23" i="1"/>
  <c r="P23" i="1"/>
  <c r="R23" i="1"/>
  <c r="N23" i="1"/>
  <c r="M179" i="1"/>
  <c r="R179" i="1"/>
  <c r="N179" i="1"/>
  <c r="M21" i="1"/>
  <c r="R21" i="1"/>
  <c r="P21" i="1"/>
  <c r="N21" i="1"/>
  <c r="AF132" i="1"/>
  <c r="N132" i="1"/>
  <c r="M132" i="1"/>
  <c r="R132" i="1"/>
  <c r="P132" i="1"/>
  <c r="D132" i="1"/>
  <c r="D21" i="1"/>
  <c r="D179" i="1"/>
  <c r="D23" i="1"/>
  <c r="D24" i="1"/>
  <c r="AL4" i="1"/>
  <c r="AF14" i="1"/>
  <c r="R14" i="1"/>
  <c r="R177" i="1"/>
  <c r="R18" i="1"/>
  <c r="R178" i="1"/>
  <c r="R13" i="1"/>
  <c r="R4" i="1"/>
  <c r="P14" i="1"/>
  <c r="P177" i="1"/>
  <c r="P18" i="1"/>
  <c r="P178" i="1"/>
  <c r="P13" i="1"/>
  <c r="P4" i="1"/>
  <c r="N14" i="1"/>
  <c r="N177" i="1"/>
  <c r="N18" i="1"/>
  <c r="N178" i="1"/>
  <c r="N13" i="1"/>
  <c r="N4" i="1"/>
  <c r="M14" i="1"/>
  <c r="M177" i="1"/>
  <c r="M18" i="1"/>
  <c r="M178" i="1"/>
  <c r="M4" i="1"/>
  <c r="M13" i="1"/>
  <c r="D178" i="1"/>
  <c r="D18" i="1"/>
  <c r="D177" i="1"/>
  <c r="D14" i="1"/>
  <c r="D13" i="1"/>
  <c r="D4" i="1" l="1"/>
</calcChain>
</file>

<file path=xl/sharedStrings.xml><?xml version="1.0" encoding="utf-8"?>
<sst xmlns="http://schemas.openxmlformats.org/spreadsheetml/2006/main" count="9085" uniqueCount="3273">
  <si>
    <t>Ra</t>
  </si>
  <si>
    <t>Rp</t>
  </si>
  <si>
    <t>vRp</t>
  </si>
  <si>
    <t>Rfe</t>
  </si>
  <si>
    <t>NfE</t>
  </si>
  <si>
    <t>Rfa</t>
  </si>
  <si>
    <t>Ca</t>
  </si>
  <si>
    <t>P</t>
  </si>
  <si>
    <t>Mg</t>
  </si>
  <si>
    <t>K</t>
  </si>
  <si>
    <t>Na</t>
  </si>
  <si>
    <t>Cl</t>
  </si>
  <si>
    <t>Fe</t>
  </si>
  <si>
    <t>Cu</t>
  </si>
  <si>
    <t>Zn</t>
  </si>
  <si>
    <t>Mn</t>
  </si>
  <si>
    <t>Jod</t>
  </si>
  <si>
    <t>Selen</t>
  </si>
  <si>
    <t>Vit. A</t>
  </si>
  <si>
    <t xml:space="preserve">b-Carotinoide </t>
  </si>
  <si>
    <t>Vit. D3</t>
  </si>
  <si>
    <t>Vit. E</t>
  </si>
  <si>
    <t>Vit. B1</t>
  </si>
  <si>
    <t>Vit. B2</t>
  </si>
  <si>
    <t>Vit. B6</t>
  </si>
  <si>
    <t>Vit. B12</t>
  </si>
  <si>
    <t>Biotin</t>
  </si>
  <si>
    <t>Niacin</t>
  </si>
  <si>
    <t>Pantothensäure</t>
  </si>
  <si>
    <t>Folsäure</t>
  </si>
  <si>
    <t>Vit C</t>
  </si>
  <si>
    <t>Vit K</t>
  </si>
  <si>
    <t>Cholin</t>
  </si>
  <si>
    <t>Identifier</t>
  </si>
  <si>
    <t>Typ</t>
  </si>
  <si>
    <t>Spezies</t>
  </si>
  <si>
    <t>Kategorie</t>
  </si>
  <si>
    <t>Nummer fortlaufend in Kategorie</t>
  </si>
  <si>
    <t>Nummer fortlaufend</t>
  </si>
  <si>
    <t>Kategorie-Nummer</t>
  </si>
  <si>
    <t>Anfangsbuchstabe</t>
  </si>
  <si>
    <t>Futtermittel</t>
  </si>
  <si>
    <t>Ra [g]/[100g]</t>
  </si>
  <si>
    <t>Rp [g]/[100g]</t>
  </si>
  <si>
    <t>vRp [g]/[100g]</t>
  </si>
  <si>
    <t>Rfe [g]/[100g]</t>
  </si>
  <si>
    <t>NfE [g]/[100g]</t>
  </si>
  <si>
    <t>Rfa [g]/[100g]</t>
  </si>
  <si>
    <t>Ca [mg]/[100g]</t>
  </si>
  <si>
    <t>P [mg]/[100g]</t>
  </si>
  <si>
    <t>Mg [mg]/[100g]</t>
  </si>
  <si>
    <t>K [mg]/[100g]</t>
  </si>
  <si>
    <t>Na [mg]/[100g]</t>
  </si>
  <si>
    <t>Cl [mg]/[100g]</t>
  </si>
  <si>
    <t>Fe [mg]/[100g]</t>
  </si>
  <si>
    <t>Cu [mg]/[100g]</t>
  </si>
  <si>
    <t>Zn [mg]/[100g]</t>
  </si>
  <si>
    <t>Mn [mg]/[100g]</t>
  </si>
  <si>
    <t>Jod [µg]/[100g]</t>
  </si>
  <si>
    <t>Selen [µg]/[100g]</t>
  </si>
  <si>
    <r>
      <t>Vit. A [</t>
    </r>
    <r>
      <rPr>
        <sz val="9"/>
        <color theme="1"/>
        <rFont val="Calibri"/>
        <family val="2"/>
      </rPr>
      <t>µ</t>
    </r>
    <r>
      <rPr>
        <sz val="9.9"/>
        <color theme="1"/>
        <rFont val="Calibri"/>
        <family val="2"/>
      </rPr>
      <t>g</t>
    </r>
    <r>
      <rPr>
        <sz val="9"/>
        <color theme="1"/>
        <rFont val="Calibri"/>
        <family val="2"/>
        <scheme val="minor"/>
      </rPr>
      <t>]/[100g]</t>
    </r>
  </si>
  <si>
    <t>Vit. A [IE]/[100g]</t>
  </si>
  <si>
    <t>Retinoläquivalent  [µg]/[100g]</t>
  </si>
  <si>
    <t>b-Carotinoide  [µg]/[100g]</t>
  </si>
  <si>
    <t>alle Carotinoide  [µg]/[100g]</t>
  </si>
  <si>
    <t>Vit. D3 [IE]/[100g]</t>
  </si>
  <si>
    <t>Vit. D3 [µg]/[100g]</t>
  </si>
  <si>
    <t>Vit E activity [mg]/[100g]</t>
  </si>
  <si>
    <t>Vit. E (a-Tocopherol) [mg]/[100g]</t>
  </si>
  <si>
    <t>Vit. B1 [mg]/[100g]</t>
  </si>
  <si>
    <t>Vit. B2 [mg]/[100g]</t>
  </si>
  <si>
    <t>Vit. B6 [mg]/[100g]</t>
  </si>
  <si>
    <t>Vit. B12 [µg]/[100g]</t>
  </si>
  <si>
    <t>Biotin [µg]/[100g]</t>
  </si>
  <si>
    <t>Niacin [mg]/[100g]</t>
  </si>
  <si>
    <t>Pantothensäure [mg]/[100g]</t>
  </si>
  <si>
    <t>Folsäure [µg]/[100g]</t>
  </si>
  <si>
    <t>Vit C [mg]/[100g]</t>
  </si>
  <si>
    <t>Vit K [mg]/[100g]</t>
  </si>
  <si>
    <t>Cholin [mg]/[100g]</t>
  </si>
  <si>
    <t>Preis (€) pro kg</t>
  </si>
  <si>
    <t>Name komplett</t>
  </si>
  <si>
    <t>Marke</t>
  </si>
  <si>
    <t>Produkt (bei Fertigfutter)</t>
  </si>
  <si>
    <t>Ra [%TS]</t>
  </si>
  <si>
    <t>Rp [%TS]</t>
  </si>
  <si>
    <t>Rfe [%TS]</t>
  </si>
  <si>
    <t>NfE [%TS]</t>
  </si>
  <si>
    <t>Rfa [%TS]</t>
  </si>
  <si>
    <t>bei Fertigfutter: Zusammensetzung</t>
  </si>
  <si>
    <t>Katze</t>
  </si>
  <si>
    <t>Ergänzungsfuttermittel</t>
  </si>
  <si>
    <t>Grünlippmuschelpulver</t>
  </si>
  <si>
    <t>Andere Supplemente</t>
  </si>
  <si>
    <t>Links</t>
  </si>
  <si>
    <t>Pronefra ©</t>
  </si>
  <si>
    <t>Virbac</t>
  </si>
  <si>
    <t>https://www.shop-apotheke.at/tiergesundheit/D11150493/pronefra.htm?expa=gglp&amp;CBP=true&amp;expa=gglp&amp;adword=google-product/S-AT-CSS_PMax_Top-NK//11150493&amp;gclid=CjwKCAjww_iwBhApEiwAuG6ccMwl35hAgCwnkVbN29uKOtNwgltGWmozk4DnIcKQiltWkAc8OCtvFhoCADkQAvD_BwE</t>
  </si>
  <si>
    <t>Raffiniertes Pflanzenöl (Oliven- und Kokosöl), Fleisch und tierische Nebenprodukte (Geflügel), Calciumcarbonat (3,6 %), hydrolysierte Fischproteine (1,9 %), Chitosan (1 %), Magnesiumcarbonat (1 %).</t>
  </si>
  <si>
    <t>Nephrostat®</t>
  </si>
  <si>
    <t>Alfavet</t>
  </si>
  <si>
    <t>Zuckerrübensirup, Glucosamin 3 %, [Berberitze, Schachtelhalm, Goldrute, Cranberry] mazeriert je 2 %, Grünlippmuschelextrakt, Phytosterole, Schachtelhalm, gemahlen 0,1 %</t>
  </si>
  <si>
    <t>https://www.shop-apotheke.at/tiergesundheit/D14217335/nephrostat.htm</t>
  </si>
  <si>
    <t>2 x täglich, bis 10 kg 1 ml, 10-20 kg 2ml, &gt; 20 kg 3 ml</t>
  </si>
  <si>
    <t>Revital Plus</t>
  </si>
  <si>
    <t>Vet-Concept</t>
  </si>
  <si>
    <t>Maltodextrin, hydrolysiertes Volleipulver,
Molkepulver, Leinsamen (gemahlen), Seealgenmehl, Leinöl, Grünlippmuschel*
(Perna canaliculus) (1 %), Ginseng (1 %), *
getrocknet</t>
  </si>
  <si>
    <t>Taurin [mg]/[100g]</t>
  </si>
  <si>
    <t>Agility</t>
  </si>
  <si>
    <t>Dextrose, Equisetum arvense*
 (Ackerschachtelhalm), Harpagophytum procumbens*
 (Teufelskralle), Symphytum officinale*
 (Beinwellwurzel), Betula pendula*
(Birke), *
getrocknet</t>
  </si>
  <si>
    <t>https://www.vet-concept.at/p/fuer-die-katze-agility-70g-1</t>
  </si>
  <si>
    <t>Multi-Mineral</t>
  </si>
  <si>
    <t>Kräuter* (Brennnessel, Fenchel, Anis, Kümmel, Birke, Island Moos), Apfelfaser, Bierhefe* , Calciumcarbonat, Petersilie* , Leinsamen, Karotten* , Seealgen* , Calciumglukonat, Magnesiumoxid, Magnesiumfumarat, Kaliumchlorid, * getrocknet</t>
  </si>
  <si>
    <t>https://www.vet-concept.at/p/fuer-den-hund-revital-plus-150g-500g?prod_number=7708&amp;gad_source=1&amp;gclid=CjwKCAjw5v2wBhBrEiwAXDDoJZr_GZsVM5G3yLJnLQN7A1Se8Asq66qXCdNAnqcZ2sCvQPCUq3KvFRoCs30QAvD_BwE</t>
  </si>
  <si>
    <t>https://www.vet-concept.at/p/fuer-den-hund-multi-mineral-120g?d=1&amp;emcs0=1&amp;emcs1=Produktdetailseite&amp;emcs2=null&amp;emcs3=7062</t>
  </si>
  <si>
    <t>Faktor für Vitamin A</t>
  </si>
  <si>
    <t>Faktor für Vitamin D</t>
  </si>
  <si>
    <t>Empfolene Dosierung (g pro Tag)</t>
  </si>
  <si>
    <t>Biotin-Komplex</t>
  </si>
  <si>
    <t>Dextrose, Lignocellulose, Anis*
, *
getrocknet</t>
  </si>
  <si>
    <t>https://www.vet-concept.at/p/fuer-die-katze-biotin-komplex-160g</t>
  </si>
  <si>
    <t>Vital Pro</t>
  </si>
  <si>
    <t>https://www.vet-concept.at/p/fuer-die-katze-vital-pro-110g-1</t>
  </si>
  <si>
    <t>Pflanzliche Nebenerzeugnisse, Öle und Fette (Leinöl 4 %), Fisch und Fischnebenerzeugnisse (Weißfischproteinkonzentrat 5 %), Fleisch und tierische Nebenerzeugnisse, Hefen (Quelle für Beta-Glucane, 1 %)</t>
  </si>
  <si>
    <t>Vitaminpräparat</t>
  </si>
  <si>
    <t>Senior Pro</t>
  </si>
  <si>
    <t>Pflanzliche Nebenerzeugnisse, Öle und Fette, Fisch und Fischnebenerzeugnisse (Weißfischproteinkonzentrat 5 %), Hefen (Quelle für Beta-Glucane, 1 %), Weich- und Krebstiere (N-Acetyl-Glucosamin 0,42 %)</t>
  </si>
  <si>
    <t>https://www.vet-concept.at/p/fuer-die-katze-senior-pro-110g-1</t>
  </si>
  <si>
    <t>Rena-Komplex</t>
  </si>
  <si>
    <t>Umrechnungsfaktor für Vitamin A</t>
  </si>
  <si>
    <t>Umrechnungsfaktor für Vitamin D</t>
  </si>
  <si>
    <t>Diatergänzungsfuttermittel bei chronischer Niereninsuffizienz</t>
  </si>
  <si>
    <t>Kräuter* (Weißdorn, Birke, Brennnessel) (40%), Reismehl, Natriumchlorid, Natriumhydrogencarbonat, Kaliumchlorid, Leinöl, *getrocknet</t>
  </si>
  <si>
    <t>https://www.vet-concept.at/p/fuer-die-katze-rena-komplex-150g-500g</t>
  </si>
  <si>
    <t>1 bis 4</t>
  </si>
  <si>
    <t>Cathrosan</t>
  </si>
  <si>
    <t>Bierhefe*, Geflügelleber hydrolisiert*, Dicalciumphosphat, Kartoffelstärke, Grünlippmuschel* (Perna canaliculus) (5,0 %), Kolostrum*, MSM (Methylsulphonylmethan), Glucosamin (Chitosamin) (1,8 %), Pflanzenfett (Raps), Teufelskralle*, Chondroitinsulfat (1,0 %), Hefe extrahiert* (Quelle für MOS) (1,0 %), Rosmarin*, *getrocknet</t>
  </si>
  <si>
    <t>https://www.vet-concept.at/p/fuer-die-katze-cathrosan-90g-2</t>
  </si>
  <si>
    <t>0.5 bis 5</t>
  </si>
  <si>
    <t>Natural Slim</t>
  </si>
  <si>
    <t>Trockenfleisch von Pute und Huhn, Karottenfaser, Apfelfaser, Cellulose, Orangenfaser, Kräuter, Schalentierextrakt, Guarana, Yucca schidigera</t>
  </si>
  <si>
    <t>https://www.vet-concept.at/p/fuer-die-katze-natural-slim-400g-1200g</t>
  </si>
  <si>
    <t>Fette und Öle</t>
  </si>
  <si>
    <t>Nachtkerzenöl</t>
  </si>
  <si>
    <t>https://www.vet-concept.at/p/fuer-die-katze-nachtkerzenoel-50ml</t>
  </si>
  <si>
    <t>Darmgel</t>
  </si>
  <si>
    <t>Cat-Darmgel</t>
  </si>
  <si>
    <t>Öle und Fette, pflanzliche Nebenerzeugnisse, Malzextrakt, Molkepulver</t>
  </si>
  <si>
    <t>https://www.vet-concept.at/p/fuer-die-katze-cat-darmgel-100ml</t>
  </si>
  <si>
    <t>Intestinum Liquid</t>
  </si>
  <si>
    <t>Öle und Fette,   Milchsäurebakterien (1 x 1012 KBE Enterococcus faecium)</t>
  </si>
  <si>
    <t>https://www.vet-concept.at/p/fuer-die-katze-intestinum-liquid-30ml</t>
  </si>
  <si>
    <t>Lachs-Hanf-Öl</t>
  </si>
  <si>
    <t>Öle und Fette (Lachsöl 80 %, Hanföl 20 %)</t>
  </si>
  <si>
    <t>https://www.vet-concept.at/p/fuer-die-katze-lachs-hanf-oel-250ml-500ml</t>
  </si>
  <si>
    <t>Intestinal Pro</t>
  </si>
  <si>
    <t>Pflanzliche Nebenerzeugnisse (Psyllium 5 %, Ulmenrinde gemahlen 2 %), Öle und Fette, Graspulver 5 %, Hefen (Quelle für Beta-Glucane 1 %), Milchzuckerderivat (Quelle für Prebiotikum TGOS* , 3 %)</t>
  </si>
  <si>
    <t>https://www.vet-concept.at/p/fuer-die-katze-intestinal-pro-110g-1</t>
  </si>
  <si>
    <t xml:space="preserve">Diatergänzungsfuttermittel  </t>
  </si>
  <si>
    <t>Urinaria Pro</t>
  </si>
  <si>
    <t>Pflanzliche Nebenerzeugnisse, Öle und Fette, Hefen (Quelle für Beta-Glucane, 1 %), Weich- und Krebstiere (N-Acetyl-Glucosamin 0,42 %)</t>
  </si>
  <si>
    <t>https://www.vet-concept.at/p/fuer-die-katze-urinaria-pro-110g-1</t>
  </si>
  <si>
    <t>Derma Liquid</t>
  </si>
  <si>
    <t>Derma-Liquid</t>
  </si>
  <si>
    <t>Aqua dem., Dextrose, Saccharose</t>
  </si>
  <si>
    <t>https://www.vet-concept.at/p/fuer-die-katze-derma-liquid-100ml</t>
  </si>
  <si>
    <t>Relax Liquid</t>
  </si>
  <si>
    <t>Relax-Liquid</t>
  </si>
  <si>
    <t>Aqua dem., Extrakte aus: Crataegus oxyacantha, Passiflora incarnata, Lavandula angustifolia, Citrus aurantium; Magnesiumchlorid, Dextrose</t>
  </si>
  <si>
    <t>https://www.vet-concept.at/p/fuer-die-katze-relax-liquid-30ml</t>
  </si>
  <si>
    <t>Cardio Liquid</t>
  </si>
  <si>
    <t>Cardio-Liquid</t>
  </si>
  <si>
    <t>Aqua dem., Dextrose, Vitamin-Spezialhefe, Pflanzenextrakte (Weißdorn) (2 %)</t>
  </si>
  <si>
    <t>https://www.vet-concept.at/p/fuer-die-katze-cardio-liquid-100ml-250ml</t>
  </si>
  <si>
    <t>Vitaminiertes Mineralfutter</t>
  </si>
  <si>
    <t>Female</t>
  </si>
  <si>
    <t>Dicalciumphosphat, Johannisbrotmehl, Calciumcarbonat, Molkepulver (teilentzuckert), Calciumglukonat, Apfelfaser, Natriumchlorid, Magnesiumoxid, Sonnenblumenöl, Kaliumchlorid</t>
  </si>
  <si>
    <t>https://www.vet-concept.at/p/fuer-die-katze-female-500g</t>
  </si>
  <si>
    <t>3.75 bis 15</t>
  </si>
  <si>
    <t>Fertil Balance</t>
  </si>
  <si>
    <t>https://www.vet-concept.at/p/fuer-die-katze-fertil-balance-500g</t>
  </si>
  <si>
    <t>Johannisbrotmehl, Maiseiweiß, Dicalciumphosphat, Bananenmehl, Calciumcarbonat, Natriumchlorid, Magnesiumoxid, Apfelfaser, Sonnenblumenöl, Kaliumchlorid</t>
  </si>
  <si>
    <t>Fertil-Balance</t>
  </si>
  <si>
    <t>3 bis 9</t>
  </si>
  <si>
    <t>Hepa Liquid</t>
  </si>
  <si>
    <t>Hepa-Liquid</t>
  </si>
  <si>
    <t>https://www.vet-concept.at/p/fuer-die-katze-hepa-liquid-30ml</t>
  </si>
  <si>
    <t>Aqua dem., Pflanzen und deren Erzeugnisse: Curcuma xanthorrhiza, Peumus boldus, Raphanus sativus, Citrus limonum, Dextrose</t>
  </si>
  <si>
    <t>Rena-Liquid</t>
  </si>
  <si>
    <t>Aqua dem., Pflanzen und deren Erzeugnisse: Erica cinerea, Taraxacum officinale, Arctostaphylos, Juniperus communis; Dextrose</t>
  </si>
  <si>
    <t>https://www.vet-concept.at/p/fuer-die-katze-rena-liquid-30ml</t>
  </si>
  <si>
    <t>Rena Liquid</t>
  </si>
  <si>
    <t>Cat Immusan</t>
  </si>
  <si>
    <t>Bierhefe* (Quelle für MOS (3,0 %), Beta-Glucan (3,8 %)), Kolostrum* (20,0 %), Geflügelleber hydrolysiert*, Dicalciumphosphat, Inulin (FOS) (2,5 %), Flohsamen, Rosmarin, *getrocknet</t>
  </si>
  <si>
    <t>https://www.vet-concept.at/c/fuer-die-katze/nahrungsergaenzung</t>
  </si>
  <si>
    <t>1 bis 2.5</t>
  </si>
  <si>
    <t>Naturreine Meeresalgen* , * getrocknet</t>
  </si>
  <si>
    <t>https://www.vet-concept.at/p/fuer-die-katze-denta-komplex-60g-1</t>
  </si>
  <si>
    <t>Nutribound für Katzen</t>
  </si>
  <si>
    <t>Fleisch und tierische Nebenerzeugnisse (Quellen für Arginin, Taurin und Glutamin (4.74 %), Pflanzliche Nebenprodukte, Öle und Fette (1.29 %), Mineralstoffe (0.69 %), Zichorieninulin (0.30 %), Fructooligosaccharide (0.11 %).</t>
  </si>
  <si>
    <t>https://petshop.at.virbac.com/Nutribound-f%C3%BCr-Katzen?gad_source=1&amp;gclid=Cj0KCQjwiYOxBhC5ARIsAIvdH51LqbcC0kxPvRuoWMXc206ZceO1L-QYajfvGvHFUozv1er-Y6-yMwkaAh3zEALw_wcB</t>
  </si>
  <si>
    <t>Nutriplus</t>
  </si>
  <si>
    <t>Glucosesirup, Sojaöl, Fischöl, Zuckerrohrmelasse, hydrolysierte tierische Proteine (Schwein und Wiederkäuer), Magnesiumsulfat-Heptahydrat.</t>
  </si>
  <si>
    <t>https://petshop.at.virbac.com/Nutri-plus-gel-2</t>
  </si>
  <si>
    <t>Enterogelan 10</t>
  </si>
  <si>
    <t>https://petshop.at.virbac.com/Enterogelan-10-2</t>
  </si>
  <si>
    <t>Leicht verdauliche Kohlenhydrate (Dextrose). Inulin, Trockengrünfutter (Kamille, Heidelbeere, Pfefferminze, Eiche, Melisse, Koriander, Kümmel, Fenchel), Natriumchlorid, Magnesiumcitrat, Kaliumsorbat, Kaliumchlorid</t>
  </si>
  <si>
    <t>Enterogelan KH</t>
  </si>
  <si>
    <t>Dextrosemonohydrat, Flohsamenschalen, Natriumbicarbonat, Natriumchlorid, Hafermehl, Kaliumchlorid, Magnesiumhydroxid</t>
  </si>
  <si>
    <t>https://petshop.at.virbac.com/Enterogelan-KH-50x10g-2</t>
  </si>
  <si>
    <t>GRAU Rinderfettpulver</t>
  </si>
  <si>
    <t>https://www.grau-generationpet.de/00002092/rinderfett-pulver</t>
  </si>
  <si>
    <t>Rinderfett, Glukose</t>
  </si>
  <si>
    <t>Rinderfettpulver</t>
  </si>
  <si>
    <t>Grau</t>
  </si>
  <si>
    <t>Lachsöl</t>
  </si>
  <si>
    <t>https://www.grau-generationpet.de/00011224/lachs-oel</t>
  </si>
  <si>
    <t>Bierhefe-Pulver</t>
  </si>
  <si>
    <t>Bierhefe (100 %, Saccharomyces cerevisiae)</t>
  </si>
  <si>
    <t>https://www.grau-generationpet.de/00002040-VATER/bierhefe-pulver</t>
  </si>
  <si>
    <t>Seealgenmehl</t>
  </si>
  <si>
    <t>getrocknete frische Seealgen (Ascophyllum nodosum)</t>
  </si>
  <si>
    <t>https://www.grau-generationpet.de/00002003/seealgenmehl</t>
  </si>
  <si>
    <t>Biotin Forte Tabletten</t>
  </si>
  <si>
    <t xml:space="preserve">Biotin Forte Tabletten </t>
  </si>
  <si>
    <t>Milch und Molkereierzeugnisse, Gemüse (Kräuter 15 %), Hefen, pflanzliche Nebenerzeugnisse, Algen, Mineralstoffe</t>
  </si>
  <si>
    <t>https://www.grau-generationpet.de/00001010-VATER/biotin-forte-tabletten</t>
  </si>
  <si>
    <t>Velcote</t>
  </si>
  <si>
    <t>https://www.grau-generationpet.de/00001200-VATER/velcote</t>
  </si>
  <si>
    <t>1 bis 2</t>
  </si>
  <si>
    <t>Muschelpulver (100 %, Perna canaliculus)</t>
  </si>
  <si>
    <t>https://www.grau-generationpet.de/00001184/gruenlippmuschel-pulver</t>
  </si>
  <si>
    <t>Naturreines Knochenmehl</t>
  </si>
  <si>
    <t>100 % gemahlene Knochen (vom Rind)</t>
  </si>
  <si>
    <t>https://www.grau-generationpet.de/00001074/naturreines-knochenmehl</t>
  </si>
  <si>
    <t>Nucron-Paste</t>
  </si>
  <si>
    <t>Nucron-Pasta</t>
  </si>
  <si>
    <t>Aurora</t>
  </si>
  <si>
    <t>Malz, pflanzliche Öle und Fette (raffiniertes Sojaöl, raffiniertes Sonnenblumenöl), Glycerin, Leber (von Geflügel), Fructo-Oligosaccharide (FOS), Mannan-Oligosaccharide (MOS), Natriumchlorid, Monoglyceride der Buttersäure, Propionsäure, Caprylsäure, Caprinsäure und Laurinsäure, Nucleotide, Baobab [Adansonia digitata L.] (pulverisiertes Fruchtfleisch 1%), Kaliumchlorid.</t>
  </si>
  <si>
    <t>https://www.zooplus.at/shop/katze/katzenfutter_ergaenzung/kraeftigung_aufbau/vitalitaet/1855036?activeVariant=1855036.0</t>
  </si>
  <si>
    <t>Einzelfuttermittel</t>
  </si>
  <si>
    <t>Grau HOKAMIX Skin &amp; Shine Nussöl</t>
  </si>
  <si>
    <t>https://www.zooplus.at/shop/katze/katzenfutter_ergaenzung/grau_ergaenzung/969065?activeVariant=969065.0</t>
  </si>
  <si>
    <t>Purina</t>
  </si>
  <si>
    <t>Purina Pro Plan Fortiflora Feline Probiotic</t>
  </si>
  <si>
    <t>https://www.zooplus.at/shop/katze/katzenfutter_trockenfutter/purina_veterinary_diets_cat/magen/969094?variantId=969094.2&amp;abd=true&amp;gad_source=1&amp;gclid=Cj0KCQjwiYOxBhC5ARIsAIvdH52qRMND5M_7l7OL40_SoEt3NniqYJFTTXeoSC1a7zaE3jMm40C8ELYaApHvEALw_wcB&amp;activeVariant=969094.2</t>
  </si>
  <si>
    <t>Fleisch und tierische Nebenerzeugnisse (Schweinefleisch und Geflügel), Mineralstoffe.</t>
  </si>
  <si>
    <t>Taurin</t>
  </si>
  <si>
    <t xml:space="preserve">Purina Pro Plan </t>
  </si>
  <si>
    <t>Glycofit</t>
  </si>
  <si>
    <t>https://www.grau-generationpet.de/00001099/glycofit</t>
  </si>
  <si>
    <t>Proteinhydrolysat (aus aufgeschlossenem Kollagen), Hafermehl, Bierhefe, Roggen- und Weizenflocken, Fettpulver (Soja-Öl, darin mehrfach ungesättigte Fettsäuren 49 %), Küchen-, Würz- und Suppenkräuter (u. a. mit Petersilie), Karottenmehl, Muschelpulverauszug (2 %, mit natürlichem Glucosamingehalt), Meeresalgenpulver, Mineralstoffe (Magnesiumhydroxidcarbonat, Tricalciumphosphat, Kaliumcarbonat)</t>
  </si>
  <si>
    <t>Intestinal Plus Tabletten</t>
  </si>
  <si>
    <t>https://www.grau-generationpet.de/00001238/intestinal-plus-tabletten</t>
  </si>
  <si>
    <t>Hefeextrakte 23,0 % (Quelle von Mannan-Oligo-Sacchariden 7,0 %  und Beta-Glukanen 9,0 %),  Fructo-Oligo-Saccharide  19,0 %,  Mineralstoffe</t>
  </si>
  <si>
    <t>0.55 bis 1.1</t>
  </si>
  <si>
    <t>Sanofor</t>
  </si>
  <si>
    <t>Naturreines Moor, natürliche Lignozellulose (0,5 %)</t>
  </si>
  <si>
    <t>https://www.grau-generationpet.de/00001087-VATER/sanofor</t>
  </si>
  <si>
    <t>ProDen Plaque off</t>
  </si>
  <si>
    <t>ProDen Plaque Off für Katzen</t>
  </si>
  <si>
    <t>https://www.grau-generationpet.de/00002200/plaqueoff-fuer-katzen-40-g</t>
  </si>
  <si>
    <t>speziell ausgewählte Meeresalgen Ascophyllum nodosum, D1070 (90 %), Bierhefe (10 %)</t>
  </si>
  <si>
    <t>Knoblauch-Tabletten</t>
  </si>
  <si>
    <t>Knoblauch (Allium sativum L., 95 %), Bierhefe (5 %)</t>
  </si>
  <si>
    <t>https://www.grau-generationpet.de/00002013/knoblauch-tabletten</t>
  </si>
  <si>
    <t>Knoblauchgranulat</t>
  </si>
  <si>
    <t>Knoblauch (Allium sativum L., 100 %) getrocknet, granuliert</t>
  </si>
  <si>
    <t>https://www.grau-generationpet.de/00002012-VATER/knoblauchgranulat</t>
  </si>
  <si>
    <t>Ani-Forte</t>
  </si>
  <si>
    <t>BARF Complete Cat</t>
  </si>
  <si>
    <t>https://www.aniforte.de/products/barf-complete-cat?tw_source=google&amp;tw_adid=&amp;tw_campaign=20983675876&amp;gad_source=1&amp;gclid=CjwKCAjwuJ2xBhA3EiwAMVjkVJSG3qpw36S9mBySnv-VXSZGPD7JTwi-LpD4ZqFAMcabxyAeX9G5XhoC5ZEQAvD_BwE</t>
  </si>
  <si>
    <t>30 % Bierhefe gemahlen, Gerstengras gemahlen, Hagebuttenschalen Feinteile, 3 % Moringa gemahlen*, Spirulina gemahlen*, 1 % Omega-3-Fischmehl (0,63 % DHA, 0,29 % EPA)</t>
  </si>
  <si>
    <t>Fellharmonie Futteröl</t>
  </si>
  <si>
    <t>Lachsöl (2,2 % Eicosapentaensäure, 3,2 % Docosahexaensäure, 5,7 % α-Linolensäure, 14 % Omega-3-Fettsäuren), Hanföl* (16,7 % α-Linolensäure), Nachtkerzenöl</t>
  </si>
  <si>
    <t>https://www.aniforte.de/products/fellharmonie-futteroel</t>
  </si>
  <si>
    <t>Lachsöl (2,2 % Eicosapentaensäure, 3,2 % Docosahexaensäure, 5,7 % α-Linolensäure, 14 % Omega-3-Fettsäuren)</t>
  </si>
  <si>
    <t>https://www.aniforte.de/products/lachsoel?variant=41185910325435</t>
  </si>
  <si>
    <t>Algenöl</t>
  </si>
  <si>
    <t>https://www.aniforte.de/products/algenoel</t>
  </si>
  <si>
    <t>100 % Algenöl, aus Meeresalge Schizochytrium sp. (19 % Eicosapentaensäure, 37 % Docosahexaensäure)</t>
  </si>
  <si>
    <t>https://www.aniforte.de/products/nachtkerzenoel?variant=41185933885627</t>
  </si>
  <si>
    <t>Nachtkerzenöl (68,5 % Linolsäure, 11,2 % Ölsäure, 9,3 % γ-Linolensäure)</t>
  </si>
  <si>
    <t>Lebertran</t>
  </si>
  <si>
    <t>https://www.aniforte.de/products/lebertran</t>
  </si>
  <si>
    <t>Bio Hanföl</t>
  </si>
  <si>
    <t>Hanföl* (Omega-6-Fettsäuren: Linolsäure 55,77 %, Omega-3-Fettsäuren: α-Linolensäure 18,33 %)</t>
  </si>
  <si>
    <t>https://www.aniforte.de/products/bio-hanfoel</t>
  </si>
  <si>
    <t>Leinöl</t>
  </si>
  <si>
    <t>https://www.aniforte.de/products/leinoel</t>
  </si>
  <si>
    <t>Leinöl (12 % Linolsäure, 56 % α-Linolensäure)</t>
  </si>
  <si>
    <t>Bio Kokosöl</t>
  </si>
  <si>
    <t>https://www.aniforte.de/products/bio-kokosoel</t>
  </si>
  <si>
    <t>Kokosöl</t>
  </si>
  <si>
    <t>BARF-Line Gemahlene Knochen vom Rind</t>
  </si>
  <si>
    <t>Verarbeitetes tierisches Protein gemahlen (aus frischen Rinderknochen) (14,2 % Calcium, 6,8 % Phosphor)</t>
  </si>
  <si>
    <t>https://www.aniforte.de/products/gemahlene-knochen</t>
  </si>
  <si>
    <t>BARF-Line Gemahlene Knochen vom Pferd</t>
  </si>
  <si>
    <t>https://www.aniforte.de/products/gemahlene-knochen-pferd</t>
  </si>
  <si>
    <t>Verarbeitetes tierisches Protein gemahlen (aus frischen Pferdeknochen)</t>
  </si>
  <si>
    <t>Rinderblutpulver</t>
  </si>
  <si>
    <t>https://www.aniforte.de/products/rinderblutpulver</t>
  </si>
  <si>
    <t>100 % Bluterzeugnis (getrocknetes Vollblut vom Rind)</t>
  </si>
  <si>
    <t xml:space="preserve">Taurin Pulver </t>
  </si>
  <si>
    <t>Taurin (3a370)</t>
  </si>
  <si>
    <t>https://www.aniforte.de/products/taurin-pulver-katzen</t>
  </si>
  <si>
    <t>Gemahlene Eierschalen</t>
  </si>
  <si>
    <t>https://www.aniforte.de/products/eierschalen-pulver</t>
  </si>
  <si>
    <t>Eierschalen Pulver (37,1 % Calcium)</t>
  </si>
  <si>
    <t>BIO Spirulina Pulver</t>
  </si>
  <si>
    <t>Spirulina Pulver* (62,2 % Protein, 1,2 % Chlorophyll)</t>
  </si>
  <si>
    <t>https://www.aniforte.de/products/bio-spirulina-pulver</t>
  </si>
  <si>
    <t>Heilmoor</t>
  </si>
  <si>
    <t>https://www.aniforte.de/products/naturmoor</t>
  </si>
  <si>
    <t>Reiner Moortorf (Huminsäure-Gehalt 35 %)</t>
  </si>
  <si>
    <t>Ulmenrinde Pulver</t>
  </si>
  <si>
    <t>Amerikanische Rotulmenrinde gemahlen</t>
  </si>
  <si>
    <t>https://www.aniforte.de/products/ulmenrinde-pulver</t>
  </si>
  <si>
    <t>Prebiotic TopinPur VET</t>
  </si>
  <si>
    <t>Topinamburknolle Konzentrat</t>
  </si>
  <si>
    <t>https://www.aniforte.de/products/prebiotic-topinpur-vet</t>
  </si>
  <si>
    <t>Indische Flohsamen</t>
  </si>
  <si>
    <t>https://www.aniforte.de/products/indische-flohsamen</t>
  </si>
  <si>
    <t>Flohsamenschalen</t>
  </si>
  <si>
    <t>https://www.aniforte.de/products/flohsamenschalen</t>
  </si>
  <si>
    <t xml:space="preserve">Wermix </t>
  </si>
  <si>
    <t>Wermix für Katzen</t>
  </si>
  <si>
    <t>Kokosmehl, Feinteile: Karotten, Hagebuttenschalen Feinteile, 7 % Walnussschalen gemahlen, 5 % Labkraut geschnitten, 5 % Petersilie, Wermutkraut</t>
  </si>
  <si>
    <t>https://www.aniforte.de/products/wermix-katzen</t>
  </si>
  <si>
    <t>4in1 Complete Cat</t>
  </si>
  <si>
    <t>https://www.aniforte.de/products/4in1-complete-cat</t>
  </si>
  <si>
    <t>65 % Kollagenpulver vom Seefisch, Acai Pulver, 5 % Topinambur Pulver* (*aus biologischem Anbau)</t>
  </si>
  <si>
    <t>https://www.aniforte.de/products/gruenlippmuschel-pulver</t>
  </si>
  <si>
    <t>Grünlippmuschel Pulver (3,3 % Glykosaminoglykane, 3,2 % Omega-3-Fettsäuren, 0,63 % Omega-6-Fettsäuren)</t>
  </si>
  <si>
    <t>Hagebuttenpulver</t>
  </si>
  <si>
    <t>https://www.aniforte.de/products/hagebuttenpulver</t>
  </si>
  <si>
    <t>Hagebuttenschalen Feinteile (0,22 % Vitamin C)</t>
  </si>
  <si>
    <t>Afrikanische Teufelskralle</t>
  </si>
  <si>
    <t>https://www.aniforte.de/products/afrikanische-teufelskralle</t>
  </si>
  <si>
    <t>Teufelskrallenwurzel gemahlen (1,3 % Harpagosid)</t>
  </si>
  <si>
    <t>Lachsöl-Kapseln</t>
  </si>
  <si>
    <t>https://www.aniforte.de/products/lachsoel-kapseln</t>
  </si>
  <si>
    <t>Fischöl (18 % Eicosapentaensäure, 12 % Docosahexaensäure), D-alpha-Tocopherol, Kapselmaterial: Gelatine (Rind), Wasser</t>
  </si>
  <si>
    <t>MSM Pulver für Hunde und Katzen</t>
  </si>
  <si>
    <t>https://www.aniforte.de/products/msm-pulver</t>
  </si>
  <si>
    <t>100 % Methylsulfonylmethan (99,94 % Reinheit)</t>
  </si>
  <si>
    <t>GelenkSchild</t>
  </si>
  <si>
    <t>https://www.aniforte.de/products/gelenkschild</t>
  </si>
  <si>
    <t>Bierhefe gemahlen, 30 % Grünlippmuschelpulver (3,3 % Glykosaminoglykane), Traubenkerne extrahiert gemahlen, Ginkgoblätter gemahlen, Hagebuttenschalen Feinteile, Teufelskrallenwurzel gemahlen, Ingwer gemahlen, Kollagen Pulver</t>
  </si>
  <si>
    <t>https://www.aniforte.de/products/bierhefe-pulver</t>
  </si>
  <si>
    <t xml:space="preserve">Bierhefe gemahlen </t>
  </si>
  <si>
    <t>Fellharmonie Vitalpulver</t>
  </si>
  <si>
    <t>https://www.aniforte.de/products/fellharmonie-vitalpulver</t>
  </si>
  <si>
    <t>50 % Bierhefe gemahlen, 10 % Spirulina gemahlen* (60 % Protein), 5 % Hagebuttenschalen gemahlen (0,13 % Vitamin C), Mariendistelsamen grob gemahlen</t>
  </si>
  <si>
    <t>Fallharmonie Vitalpulver</t>
  </si>
  <si>
    <t>Immun-Aktiv</t>
  </si>
  <si>
    <t>https://www.aniforte.de/products/immun-aktiv</t>
  </si>
  <si>
    <t>25 % Gerstengras gemahlen, 25 % Hagebutteschalen Feinteile (0,13 % Vitamin C), Bierhefe gemahlen, Sonnenhutwurzel gemahlen, 7 % Spirulina gemahlen*, Mariendistelsamen grob gemahlen, Propolis Pulver</t>
  </si>
  <si>
    <t>MultiVETAL Pulver</t>
  </si>
  <si>
    <t>https://www.aniforte.de/products/multivetal-pulver</t>
  </si>
  <si>
    <t>Reine Bierhefe gemahlen, Gerstengraspulver, Seealgenmehl, 4,0 % Acerola Pulver, 4,0 % Acai Pulver, Omega-3-Fischmehl (0,63 % DHA, 0,29 % EPA)</t>
  </si>
  <si>
    <t>MultiVETAL Tabletten</t>
  </si>
  <si>
    <t>https://www.aniforte.de/products/multivetal-tabletten</t>
  </si>
  <si>
    <t>Reine Bierhefe gemahlen, Gerstengraspulver, Seealgenmehl, 4 % Acerola Pulver, 4 % Acai Pulver, 3% Omega-3-Fischmehl (0,63 % DHA, 0,29 % EPA) </t>
  </si>
  <si>
    <t>Premium Colostrum</t>
  </si>
  <si>
    <t>https://www.aniforte.de/products/premium-colostrum</t>
  </si>
  <si>
    <t>Entfettetes Colostrum Pulver</t>
  </si>
  <si>
    <t>Propolis Pulver</t>
  </si>
  <si>
    <t>https://www.aniforte.de/products/propolis-pulver</t>
  </si>
  <si>
    <t>Propolis Pulver, Maltodextrin gemahlen</t>
  </si>
  <si>
    <t>BARF Cat Plus</t>
  </si>
  <si>
    <t>ANIBIO</t>
  </si>
  <si>
    <t>https://www.anibio.de/katzen/barfen/barf-katze</t>
  </si>
  <si>
    <t>Kräutermischung (Brennnessel, Fenchel, Anis, Kümmel, Island Moos), Apfeltrester, Bierhefe, Calciumcarbonat, Petersilie, Leinsamen, Karotten, Seealge, Calciumglukonat, Magnesiumoxid, Magnesiumfumarat, Kaliumchlorid.</t>
  </si>
  <si>
    <t>AllergoDerm</t>
  </si>
  <si>
    <t>https://www.anibio.de/hunde/ergaenzungsfutter/allergoderm</t>
  </si>
  <si>
    <t>Leinsamen (gemahlen), Apfeltrester, Kräutermischung (Brennnessel, Kamille, Ackerschachtelhalm, Eibisch, Schafgarbe).</t>
  </si>
  <si>
    <t>BARF Mix</t>
  </si>
  <si>
    <t>https://www.anibio.de/barf/barf-mix</t>
  </si>
  <si>
    <t>Hirsemehl, Apfeltrester, Bananengrieß 9,7 %, Fenchelfrucht, Karottenwürfel 5 %, Petersilie, Flohsamenschalen, Liebstöckelblätter, Seealgen, Hagebuttenschalen, Mariendistelsamen 2,5 %.</t>
  </si>
  <si>
    <t>https://www.anibio.de/barfen/barf-pur</t>
  </si>
  <si>
    <t>Kräutermischung (Brennnessel, Fenchel, Anis, Kümmel, Birke, Island Moos), Apfeltrester, Bierhefe, Calciumcarbonat, Petersilie, Leinsamen, Karotten, Mariendistelsamen, Kokosraspel (3 %), Traubenkernmehl, Flohsamenschalen, Seealgenmehl, Magnesiumoxid.</t>
  </si>
  <si>
    <t>Biotin mit Zink</t>
  </si>
  <si>
    <t>https://www.anibio.de/ergaenzungsfutter/biotin</t>
  </si>
  <si>
    <t>Dextrose, Calciumcarbonat, Vanille (Aroma).</t>
  </si>
  <si>
    <t>Barf Mix</t>
  </si>
  <si>
    <t>BARF Pur</t>
  </si>
  <si>
    <t>Bronchio Vital</t>
  </si>
  <si>
    <t>BronchioVital</t>
  </si>
  <si>
    <t>https://www.anibio.de/hunde/ergaenzungsfutter/bronchio-vital</t>
  </si>
  <si>
    <t>Aqu.dem., Magnesiumchloratum, Thymian* (Thymus vulgaris), Eukalyptus* (Eukalyptus globulus), Echinacea* 5,5% (Echinacea purpurea), Natriumchlorid, Heidelbeere* (Vaccinium myrtillus).</t>
  </si>
  <si>
    <t>Calcium Plus</t>
  </si>
  <si>
    <t>https://www.anibio.de/hunde/themenwelten/ergaenzungsfutter/calcium-plus</t>
  </si>
  <si>
    <t>100 % Eierschalenpulver</t>
  </si>
  <si>
    <t>Probiotikum</t>
  </si>
  <si>
    <t>Darm-Probiotic</t>
  </si>
  <si>
    <t>https://www.anibio.de/hunde/ergaenzungsfutter/darm-probiotic</t>
  </si>
  <si>
    <t>Maltodextrin, Hydroxypropylmethylcellulose (=Kapselhülle besteht aus Cellulose - gelatinefrei ), Oligofructose, Magnesiumstearat.</t>
  </si>
  <si>
    <t>Darm Probiotic</t>
  </si>
  <si>
    <t>Fresshilfe</t>
  </si>
  <si>
    <t>https://www.anibio.de/hunde/ergaenzungsfutter/fresshilfe</t>
  </si>
  <si>
    <t>Hühnerleber, Hirsemehl, Fenchelfrucht, Karottenwürfel, Petersilie, Flohsamenschalen, Liebstöckelblätter, Hagebuttenschalen, Mariendistelsamen.</t>
  </si>
  <si>
    <t>GemüseMix</t>
  </si>
  <si>
    <t>Gemüsemix</t>
  </si>
  <si>
    <t>https://www.anibio.de/GemueseMix</t>
  </si>
  <si>
    <t>Petersilie (obere Pflanzenteile + Wurzel), Karotte, Apfeltrester, Rote Beete, Pastinake, Kürbis</t>
  </si>
  <si>
    <t>Hanföl Bio</t>
  </si>
  <si>
    <t>https://www.anibio.de/hunde/hanfoel</t>
  </si>
  <si>
    <t>100 % reines, kaltgepresstes BIO Hanf-Öl* (Cannabis sativa)</t>
  </si>
  <si>
    <t>Immunalin</t>
  </si>
  <si>
    <t>https://www.anibio.de/hunde/ergaenzungsfutter/immunalin</t>
  </si>
  <si>
    <t>Aqu.dem., Magnesiumchloratum, Thymian (Thymus vulgaris), Eukalyptus (Eukalyptus globulus), Echinacea 5,5 % (Echinacea purpurea), Natriumchlorid, Heidelbeere (Vaccinium myrtillus).</t>
  </si>
  <si>
    <t>Katze-Vital</t>
  </si>
  <si>
    <t>https://www.anibio.de/katzen/immunsystem-und-vitalitaet/katze-vital</t>
  </si>
  <si>
    <t>Kräutermischung (Brennnessel, Fenchel, Anis, Kümmel, Birke, Island Moos), Apfeltrester, Bierhefe, Calciumcarbonat, Petersilie, Leinsamen, Karotten, Seealge, Calciumglukonat, Magnesiumoxid, Magnesiumfumarat, Kaliumchlorid.</t>
  </si>
  <si>
    <t>Lachsöl - flüssig</t>
  </si>
  <si>
    <t>https://www.anibio.de/lachsoel-hund/lachsoel-fluessig</t>
  </si>
  <si>
    <t>100% natürliches Lachsöl</t>
  </si>
  <si>
    <t>https://www.anibio.de/hunde/ergaenzungsfutter/lachsoel</t>
  </si>
  <si>
    <t>500 mg Lachsöl-Konzentrat mit Omega-3-Fettsäuren, EPA (Eicosapentaensäure 30 %), DHA (Docosahexaensäure 18 %), Gelatine (Kapsel).</t>
  </si>
  <si>
    <t>Felini Complete</t>
  </si>
  <si>
    <t>Felini</t>
  </si>
  <si>
    <t>https://www.barf-kultur.de/Felini-Complete</t>
  </si>
  <si>
    <t>easy B.a.r.F basic</t>
  </si>
  <si>
    <t>Lilly's Bar</t>
  </si>
  <si>
    <t>https://www.barf-kultur.de/easy-BarF-basic</t>
  </si>
  <si>
    <t>Pektine, Mineralstoffe und Vitamine</t>
  </si>
  <si>
    <t>easy B.a.r.F plus</t>
  </si>
  <si>
    <t>https://www.barf-kultur.de/easy-BarF-plus</t>
  </si>
  <si>
    <t>Calciumcarbonat, Natriumchlorid, Calcium-Natrium-Phosphat, Magnesiumoxid</t>
  </si>
  <si>
    <t>Dorschlebertran</t>
  </si>
  <si>
    <t>BARF Kultur</t>
  </si>
  <si>
    <t>https://www.barf-kultur.de/Dorschlebertran</t>
  </si>
  <si>
    <t>Felini Renal</t>
  </si>
  <si>
    <t>https://www.barf-kultur.de/Felini-Renal</t>
  </si>
  <si>
    <t>Felini Taurin</t>
  </si>
  <si>
    <t>https://www.barf-kultur.de/Felini-Taurin</t>
  </si>
  <si>
    <t>Mineralstoffe</t>
  </si>
  <si>
    <t>Taurin [mg]/[100 g]</t>
  </si>
  <si>
    <t>Fortain</t>
  </si>
  <si>
    <t>https://www.barf-kultur.de/Fortain</t>
  </si>
  <si>
    <t>Hämoglobin vom Schwein</t>
  </si>
  <si>
    <t>Fortan</t>
  </si>
  <si>
    <t>Futterzellulose</t>
  </si>
  <si>
    <t>https://www.barf-kultur.de/Futterzellulose</t>
  </si>
  <si>
    <t>100 % Pulverzellulose</t>
  </si>
  <si>
    <t>Jod Sensitive</t>
  </si>
  <si>
    <t>https://www.barf-kultur.de/Jod-Sensitive</t>
  </si>
  <si>
    <t>https://www.barf-kultur.de/Rinderblutpulver</t>
  </si>
  <si>
    <t>Rinderblut (Vollblut vom Rind, getrocknet)</t>
  </si>
  <si>
    <t>Taurinetten</t>
  </si>
  <si>
    <t>https://www.barf-kultur.de/Taurinetten</t>
  </si>
  <si>
    <t>Hefe, Lactose, Dicalciumphosphat, Tri-Calciumcitrat, Magnesiumstearat</t>
  </si>
  <si>
    <t>BIO Nachtkerzenöl</t>
  </si>
  <si>
    <t>https://www.barf-kultur.de/Bio-Nachtkerzenoel</t>
  </si>
  <si>
    <t>100 % kaltgepresstes Nachkerzenöl aus kontrolliert biologischem Anbau</t>
  </si>
  <si>
    <t>Algenöl Kapsel</t>
  </si>
  <si>
    <t>https://www.barf-kultur.de/Algenoel-Kapseln</t>
  </si>
  <si>
    <t>Öl aus der Mikroalge Schizochytrium sp., pflanzliche Kapselhülle (Glycerin, Maisstärke, Algen-Carrageen, Natriumcarbonat)</t>
  </si>
  <si>
    <t>Bio Apfelessig</t>
  </si>
  <si>
    <t>https://www.barf-kultur.de/Bio-Apfelessig</t>
  </si>
  <si>
    <t>100% Apfelessig, naturtrüb (mind. 5% Säure)</t>
  </si>
  <si>
    <t>Krillöl Kapseln</t>
  </si>
  <si>
    <t>https://www.barf-kultur.de/Krilloel-Kapseln</t>
  </si>
  <si>
    <r>
      <t>Superba2</t>
    </r>
    <r>
      <rPr>
        <sz val="6"/>
        <color rgb="FF525252"/>
        <rFont val="Open Sans"/>
        <family val="2"/>
      </rPr>
      <t>TM</t>
    </r>
    <r>
      <rPr>
        <sz val="7"/>
        <color rgb="FF525252"/>
        <rFont val="Open Sans"/>
        <family val="2"/>
      </rPr>
      <t> Krillöl, Hydroxypropylmethylcellulose (Kapselhülle), Vitamin E</t>
    </r>
  </si>
  <si>
    <t>Reiskeimöl</t>
  </si>
  <si>
    <t>100 % Reiskeimöl</t>
  </si>
  <si>
    <t>https://www.barf-kultur.de/Reiskeimoel</t>
  </si>
  <si>
    <t>Hanföl</t>
  </si>
  <si>
    <t>SPARROW Pet Vollspektrum Hanföl</t>
  </si>
  <si>
    <t>SPARROW</t>
  </si>
  <si>
    <t>https://www.barf-kultur.de/SPARROW-Pet-Vollspektrum-Hanfoel</t>
  </si>
  <si>
    <t>Reines Hanföl, kalt gepresst aus der Hanfpflanze &amp; Hanfsaat</t>
  </si>
  <si>
    <t>Algenkalk</t>
  </si>
  <si>
    <t>https://www.barf-kultur.de/Algenkalk</t>
  </si>
  <si>
    <t>100% Algenkalk (Lithothamnium calcareum), pulverisiert</t>
  </si>
  <si>
    <t>Eierschalenpulver</t>
  </si>
  <si>
    <t>BIO Eierschalenpulver</t>
  </si>
  <si>
    <t>https://www.barf-kultur.de/Bio-Eierschalenpulver</t>
  </si>
  <si>
    <t>100% Bio Eierschalen, gemahlen</t>
  </si>
  <si>
    <t>Dicalciumphosphat</t>
  </si>
  <si>
    <t>https://www.barf-kultur.de/Dicalciumphosphat</t>
  </si>
  <si>
    <t>100% Dicalciumphosphat, pulverisiert</t>
  </si>
  <si>
    <t>Hirschknochenmehl</t>
  </si>
  <si>
    <t>https://www.barf-kultur.de/Hirschknochenmehl</t>
  </si>
  <si>
    <t>Fleischknochen vom Hirsch, gemahlen</t>
  </si>
  <si>
    <t>Kaninchenknochenmehl</t>
  </si>
  <si>
    <t>https://www.barf-kultur.de/Kaninchenknochenmehl</t>
  </si>
  <si>
    <t>Fleischknochen vom Kaninchen, gemahlen</t>
  </si>
  <si>
    <t>Lammknochenmehl</t>
  </si>
  <si>
    <t>https://www.barf-kultur.de/Lammknochenmehl</t>
  </si>
  <si>
    <t>Fleischknochen vom Lamm, gemahlen</t>
  </si>
  <si>
    <t>Pferdeknochenmehl</t>
  </si>
  <si>
    <t>https://www.barf-kultur.de/Pferdeknochenmehl</t>
  </si>
  <si>
    <t>Fleischknochen vom Pferd, gemahlen</t>
  </si>
  <si>
    <t>Rinderknochenmehl</t>
  </si>
  <si>
    <t>https://www.barf-kultur.de/Rinderknochenmehl</t>
  </si>
  <si>
    <t>Fleischknochen vom Rind, gemahlen</t>
  </si>
  <si>
    <t>Ziegenknochenmehl</t>
  </si>
  <si>
    <t>https://www.barf-kultur.de/Ziegenknochenmehl</t>
  </si>
  <si>
    <t>Fleischknochen von der Ziege, gemahlen</t>
  </si>
  <si>
    <t>Mineralfuttermittel</t>
  </si>
  <si>
    <t>Fische und Algen</t>
  </si>
  <si>
    <t>Bio Chlorella</t>
  </si>
  <si>
    <t>https://www.barf-kultur.de/Bio-Chlorella</t>
  </si>
  <si>
    <t>100 % Chlorella vulgaris</t>
  </si>
  <si>
    <t>Cranberrypulver</t>
  </si>
  <si>
    <t>https://www.barf-kultur.de/Bio-Cranberrypulver</t>
  </si>
  <si>
    <t>100 % Bio Cranberrys, gefriergetrocknet und gemahlen</t>
  </si>
  <si>
    <t>Bio Cranberrypulver</t>
  </si>
  <si>
    <t>Bio Hagebuttenschalen</t>
  </si>
  <si>
    <t>https://www.barf-kultur.de/Bio-Hagebuttenschalen</t>
  </si>
  <si>
    <t>100% Bio Rosa canina, pulverisiert</t>
  </si>
  <si>
    <t>Bio Seealgenmehl</t>
  </si>
  <si>
    <t>https://www.barf-kultur.de/Bio-Seealgenmehl</t>
  </si>
  <si>
    <t>100% Bio Ascophyllum Nodosum</t>
  </si>
  <si>
    <t>Spirulina</t>
  </si>
  <si>
    <t>Bio Spirulina</t>
  </si>
  <si>
    <t>https://www.barf-kultur.de/Bio-Spirulina</t>
  </si>
  <si>
    <t>100% Bio Spirulina platensis</t>
  </si>
  <si>
    <t>Spirulina Tabs</t>
  </si>
  <si>
    <t>https://www.barf-kultur.de/Bio-Spirulina-Tabs</t>
  </si>
  <si>
    <t>100% Spirulina platensis, gepresst zu Tabletten</t>
  </si>
  <si>
    <t>Aloe Vera Saft</t>
  </si>
  <si>
    <t>Bierhefe</t>
  </si>
  <si>
    <t>100% Saccharomyces cerevisiae, pulverisiert</t>
  </si>
  <si>
    <t>https://www.barf-kultur.de/Bierhefe</t>
  </si>
  <si>
    <t>Bio Blütenpollen</t>
  </si>
  <si>
    <t>https://www.barf-kultur.de/Bio-Bluetenpollen</t>
  </si>
  <si>
    <t>100% Bio Blütenpollen (Granulat)</t>
  </si>
  <si>
    <t>Buchweizenkeimpulver</t>
  </si>
  <si>
    <t>https://www.barf-kultur.de/Buchweizenkeimpulver</t>
  </si>
  <si>
    <t>100 % Buchweizenkeimpulver</t>
  </si>
  <si>
    <t>VitalPro</t>
  </si>
  <si>
    <t>SeniorPro</t>
  </si>
  <si>
    <t>AniForte</t>
  </si>
  <si>
    <t>Zellulose</t>
  </si>
  <si>
    <t>Barf Pur</t>
  </si>
  <si>
    <t>Bezo-Pet Gel</t>
  </si>
  <si>
    <t>Vetoquinol</t>
  </si>
  <si>
    <t>https://vetoquinol.at/produkte/bezo-pet-gel</t>
  </si>
  <si>
    <t>Malz, Sojaöl, Glucosesirup, Zuckerrohrmelasse, Fischöl.</t>
  </si>
  <si>
    <t>Calo-Pet Gel</t>
  </si>
  <si>
    <t>https://vetoquinol.at/produkte/calo-pet-gel</t>
  </si>
  <si>
    <t>Glucosesirup, Sojaöl, Malz, Fischöl, Zuckerrohrmelasse, Magnesiumsulfat-Heptahydrat, leicht verdauliche Inhaltsstoffe: Glucosesirup, Malz, Zuckerrohrmelasse.</t>
  </si>
  <si>
    <t>Caniviton Plus Mini</t>
  </si>
  <si>
    <t>https://www.vetoquinol.at/produkte/caniviton-plus-mini</t>
  </si>
  <si>
    <t>Hühnerleberpulver, Glycerin, Bierhefe, Cellulosepulver, Glucosamin HCl 9%, Chondroitinsulfat 9%, Leinsamenöl (Quelle für Omega 3), Fischöl (Quelle für Omega 3), Maltodextrin, Pektin, Saccharose, Calciumsulfat-Dihydrat.</t>
  </si>
  <si>
    <t>Dermanorm Öl</t>
  </si>
  <si>
    <t>Sojaöl, Borretschöl, Fischöl.</t>
  </si>
  <si>
    <t>https://www.vetoquinol.at/produkte/dermanorm-oel-250ml-fuer-hunde-und-katzen</t>
  </si>
  <si>
    <t>Enisyl-F</t>
  </si>
  <si>
    <t>https://www.vetoquinol.at/produkte/enisyl-f</t>
  </si>
  <si>
    <t>Sorbitol, Fischöl, Sojaöl</t>
  </si>
  <si>
    <t>Flexadin Advanced für Katzen</t>
  </si>
  <si>
    <t>https://www.vetoquinol.at/produkte/flexadin-advanced-fuer-katzen</t>
  </si>
  <si>
    <t>Bierhefe, Hafermehl, Haferfocken, Roggenfuttermehl, Glycerin, Hühnerleberpulver, Leinsamenöl (Quelle für Omega-3), UC-II® Hühnerknorpel Pulver (enthält Kaliumchlorid: 1,47%, Gesamtmenge Kollagen: 1,22% (mit patentiertem nativen Kollagen Typ II: 0,15%)) 4,8%, Fischöl (Quelle für Omega-3), Pektin, Saccharose, Maltodextrin, Calciumsulfat-Dihydrat.</t>
  </si>
  <si>
    <t>Flexadin Cat</t>
  </si>
  <si>
    <t>https://www.vetoquinol.at/produkte/flexadin-cat</t>
  </si>
  <si>
    <t>Hühnerleberpulver, Glycerin, Bierhefe, Cellulosepulver, Glucosamin HCl 9%, Chondroitinsulfat 9%, Leinsamenöl (Quelle für Omega-3), Fischöl (Quelle für Omega-3), Maltodextrin, Pektin, Saccharose, Calciumsulfat-Dihydrat.​</t>
  </si>
  <si>
    <t>Ipakitine</t>
  </si>
  <si>
    <t>https://www.vetoquinol.at/produkte/ipakitine</t>
  </si>
  <si>
    <t>Laktose, Calciumcarbonat, Chitosan.</t>
  </si>
  <si>
    <t>Lega Phyton</t>
  </si>
  <si>
    <t xml:space="preserve">Lega Phyton </t>
  </si>
  <si>
    <t>https://www.vetoquinol.at/produkte/lega-phyton-50-200</t>
  </si>
  <si>
    <t>Lactose, Mariendistelsamen, Lecithin, Sojafasern, Mischung aus Polydextrose, Talkum und mittelkettigen Triglyceriden, Magnesiumstearat, Sojaproteinhydrolysat.</t>
  </si>
  <si>
    <t>Uro-Pet</t>
  </si>
  <si>
    <t>https://www.vetoquinol.at/produkte/uro-pet</t>
  </si>
  <si>
    <t>Glucosesirup, Malz, Sojaöl, Fischöl, Zuckerrohrmelasse Harnansäuernde Stoffe: Methionin</t>
  </si>
  <si>
    <t>Zylkene Kapseln</t>
  </si>
  <si>
    <t>https://www.vetoquinol.at/produkte/zylkene-kapseln</t>
  </si>
  <si>
    <t>Maltodextrin, Kasein (Trypsin-hydrolysiertes Rinder Kasein) 29,4 %, Magnesiumstearat</t>
  </si>
  <si>
    <t>Zylkene Plus</t>
  </si>
  <si>
    <t>https://www.vetoquinol.at/produkte/zylkene-plus</t>
  </si>
  <si>
    <t>Maltodextrin, Kasein (Trypsin-hydrolysiertes Rinderka_x0002_sein), hydrolysiertes Fischprotein, Magnesiumstearat </t>
  </si>
  <si>
    <t>GimCat Katzenpaste</t>
  </si>
  <si>
    <t>GimCat Malt-Soft-Extra Katzenpaste 100 g</t>
  </si>
  <si>
    <t>GimCat</t>
  </si>
  <si>
    <t>https://www.fressnapf.at/p/gimcat-malt-soft-extra-katzenpaste-100-g-1003113004/</t>
  </si>
  <si>
    <t>Pflanzliche Nebenerzeugnisse (Malzextrakte 43,7%, Cellulose 4,0%), Öle und Fette (31,0%), Hefen (enthält 1,0% Beta-Glucan) Antioxidationsmittel Ohne Zusatz von Zucker</t>
  </si>
  <si>
    <t>GimCat Expert Line Relax Paste 50 g</t>
  </si>
  <si>
    <t>https://www.fressnapf.at/p/gimcat-expert-line-relax-paste-50-g-1338381/</t>
  </si>
  <si>
    <t>Pflanzliche Nebenerzeugnisse, Öle und Fette, Hefen (enthält 1% Beta-Glucan), Milch und Molkereierzeugnisse, Eschscholtzienkraut gemahlen 0,7%, Johanniskrautfiltrat 0,04%.</t>
  </si>
  <si>
    <t>https://www.fressnapf.at/p/gimcat-multi-vitamin-extra-katzenpaste-200-g-1084660002/</t>
  </si>
  <si>
    <t>GimCat Multi-Vitamin-Extra Katzenpaste 200g</t>
  </si>
  <si>
    <t>pflanzliche Nebenerzeugnisse, Öle und Fette (Fischöl 8,0%), Hefen (enthält 1,0% Beta-Glucan)Ohne Zusatz von Zucker</t>
  </si>
  <si>
    <t>GimCat Multivitamin Extra</t>
  </si>
  <si>
    <t xml:space="preserve">GimCat Multivitamin  </t>
  </si>
  <si>
    <t>GimCat Multi-Vitamin Katzenpaste 200g</t>
  </si>
  <si>
    <t>https://www.fressnapf.at/p/gimcat-multi-vitamin-katzenpaste-200-g-1084660001/?preventScrollToTop=true</t>
  </si>
  <si>
    <t>pflanzliche Nebenerzeugnisse, Öle und Fette (30,0%), Hefen (enthält 1,0% Beta-Glucan)Ohne Zusatz von Zucker</t>
  </si>
  <si>
    <t>GimCat Kitten</t>
  </si>
  <si>
    <t>https://www.fressnapf.at/p/gimcat-expert-line-kitten-paste-50g-1280718/</t>
  </si>
  <si>
    <t>Pflanzliche Nebenerzeugnisse (Malzextrakte 32%), Öle und Fette (Fischöl 4%, Leinöl 4%), Eier und Eiererzeugnisse (Eigelbpulver 3%), Hefen, Fleisch und tierische Nebenerzeugnisse, Fisch und tierische Nebenerzeugnisse, Algen.</t>
  </si>
  <si>
    <t>GimCat Expert Line Kitten Paste</t>
  </si>
  <si>
    <t>GimCat Taurine Paste</t>
  </si>
  <si>
    <t>https://www.fressnapf.at/p/gimcat-expert-line-taurine-paste-extra-50-g-1280714/</t>
  </si>
  <si>
    <t>GimCat Expert Line Taurine Paste Extra</t>
  </si>
  <si>
    <t>Pflanzliche Nebenerzeugnisse, Öle und Fette, Weich- und Krebstiere (Grünlippmuschelpulver 4%), Fleisch und tierische Nebenerzeugnisse</t>
  </si>
  <si>
    <t>GimCat Katzenpaste Gastro</t>
  </si>
  <si>
    <t>GimCat Expert Line Gastro Intestinal Paste</t>
  </si>
  <si>
    <t>https://www.fressnapf.at/p/gimcat-expert-line-gastro-intestinal-paste-50-g-1280715/</t>
  </si>
  <si>
    <t>Graspulver (5%), Pflanzliche Nebenerzeugnisse (Psyllium 5%, Ulmenrinde gemahlen 2%), Milchzuckerderivat mit TGOS* (3%), Hefen (enthält Beta-Glucan 1%), Öle und Fette</t>
  </si>
  <si>
    <t>GimCat Senior</t>
  </si>
  <si>
    <t>GimCat Expert Line Senior Paste</t>
  </si>
  <si>
    <t>Pflanzliche Nebenerzeugnisse, Öle und Fette, Fisch und Fischnebenerzeugnisse (Weißfischproteinkonzentrat 5%), Hefen (enthält 1% Beta-Glucane), Weich- und Krebstiere (N-Acetyl-Glucosamin 0,42%)</t>
  </si>
  <si>
    <t>https://www.fressnapf.at/p/gimcat-expert-line-senior-paste-50-g-1280716/</t>
  </si>
  <si>
    <t>GimCat Käse Biotin Katzenpaste</t>
  </si>
  <si>
    <t>https://www.fressnapf.at/p/gimcat-kaese-biotin-katzenpaste-100g-1003113001/</t>
  </si>
  <si>
    <t>pflanzliche Nebenerzeugnisse, Öle und Fette (Leinöl 4,0%), Hefen, Milch und Molkereierzeugnisse</t>
  </si>
  <si>
    <t>GimCat Anti-Hairball</t>
  </si>
  <si>
    <t>GimCat Duo Paste Anti Hairball</t>
  </si>
  <si>
    <t>https://www.fressnapf.at/p/gimcat-duo-paste-anti-hairball-anti-hairball-huehnchen--malz-50-g-1394323/</t>
  </si>
  <si>
    <t>Pflanzliche Nebenerzeugnisse (Malzextrakte 43 %), Öle und Fette 31 %, Milch und Molkereierzeugnisse (Hartkäse gerieben 4 %), Hefen, Mineralstoffe</t>
  </si>
  <si>
    <t>GimCat Nutripockets Malz-Vitamin</t>
  </si>
  <si>
    <t>GimCat Nutri Pockets Malz-Vitamin Mix</t>
  </si>
  <si>
    <t>https://www.fressnapf.at/p/gimcat-nuti-pockets-malz-vitamin-mix-2x150-g-1371633/</t>
  </si>
  <si>
    <t>Getreide (Nutri Pockets rotbraun: 4% Malz), Fleisch und tierische Nebenerzeugnisse (Nutri Pockets rotbraun: 4% Rind), Nutri Pockets rotbraun: Lignozellulose 4%), Fisch und Fischnebenerzeugnisse (Nutri Pockets orangebraun: 4% Lachs), Mineralstoffe, Hefen, Milch und Molkereierzeugnisse, Öle und Fette, pfl anzliche Eiweißextrakte, pflanzliche Nebenerzeugnisse (Nutri Pockets grün: 0,5% Katzenminze.</t>
  </si>
  <si>
    <t>GimCat Nutripockets Country</t>
  </si>
  <si>
    <t>GimCat Nutri Pockets Country Mix</t>
  </si>
  <si>
    <t>https://www.fressnapf.at/p/gimcat-nutri-pockets-country-mix-2x150-g-1371635/</t>
  </si>
  <si>
    <t>Getreide, Fleisch und tierische Nebenerzeugnisse (Nutri Pockets rotbraun: 4 % Rind, Nutri Pockets braun: 4 % Ente, Nutri Pockets dunkelbraun: 4 % Truthahn) Öle und Fette, pflanzliche Eiweissextrakte, pflanzliche Nebenerzeugnisse, Mineralstoffe, Hefen, Milch und Molkereierzeugnisse.</t>
  </si>
  <si>
    <t>https://www.fressnapf.at/p/gimcat-milch-fuer-katzen-14x200ml-1100864/</t>
  </si>
  <si>
    <t>Vollmilch, laktose-reduziert, Mineralstoffe</t>
  </si>
  <si>
    <t>GimCat Milch für Katzen</t>
  </si>
  <si>
    <t>Katzenmilch GimCat</t>
  </si>
  <si>
    <t>GimCat Multi-Vitamin Tabs</t>
  </si>
  <si>
    <t>https://www.zooplus.at/shop/katze/katzensnacks/gimpet_snacks/gimpet_katzentabs/1922227?activeVariant=1922227.0&amp;variantId=1922227.0&amp;mkt_source=1508220</t>
  </si>
  <si>
    <t>Milch und Molkereierzeugnisse, Hefen (enthält 1% Beta-Glucane), Öle und Fette.</t>
  </si>
  <si>
    <t>GimCat Kitten Tabs</t>
  </si>
  <si>
    <t>https://www.zooplus.at/shop/katze/katzensnacks/gimpet_snacks/gimpet_katzentabs/968409?activeVariant=968409.3&amp;mkt_source=1508220&amp;sv1=affiliate&amp;sv_campaign_id=323889&amp;awc=23924_1726829224_b0b21745572b73b3dcf7c6f64771be1e</t>
  </si>
  <si>
    <t>Milch und Molkereierzeugnisse, Öle und Fette, Zucker, Hefen, Fleisch und tierische Nebenerzeugnisse, pflanzliche Nebenerzeugnisse, Früchte (in den rosa Tabs enthalten), Graspulver (in den grünen Tabs enthalten).</t>
  </si>
  <si>
    <t>GimCat Malt Tabs</t>
  </si>
  <si>
    <t>https://www.zooplus.at/shop/katze/katzensnacks/gimpet_snacks/gimpet_katzentabs/968408?activeVariant=968408.2&amp;mkt_source=1508220&amp;sv1=affiliate&amp;sv_campaign_id=323889&amp;awc=23924_1726829123_1a1d760e567986015d0f50002fde2af7</t>
  </si>
  <si>
    <t>Milch und Molkereierzeugnisse, Hefen, Öle und Fette, pflanzliche Nebenerzeugnisse (Malzextrakt getrocknet 4%, Ulmenrinde gemahlen 2%).</t>
  </si>
  <si>
    <t>GimCat Denta Tabs</t>
  </si>
  <si>
    <t>https://www.petissimo.at/katze/katzensnacks-leckerlis/gimpet/gimcat-denta-tabs.html?cjdata=MXxZfDB8WXww&amp;utm_source=affiliate&amp;utm_medium=CJ_5180056&amp;utm_campaign=100897684&amp;utm_content=PetissimoAT_google_all&amp;cjevent=452a19de773f11ef80bf006d0a18b8f9</t>
  </si>
  <si>
    <t>Milch und Milchprodukte, Öle und Fette, Hefen, Algen (getrocknete Algen 6%), getrocknete Pfefferminze (4%), pflanzliche Nebenprodukte (Cellulosepaste 3%), Mineralien (Natriummetahexaphosphat 0,6%).</t>
  </si>
  <si>
    <t>GimCat Skin &amp; Coat Tabs</t>
  </si>
  <si>
    <t>GimCat Skin and Coat Tabs</t>
  </si>
  <si>
    <t>https://www.zooplus.at/shop/katze/katzensnacks/gimpet_snacks/gimpet_katzentabs/1923750?activeVariant=1923750.1&amp;variantId=1923750.1&amp;mkt_source=1508220&amp;sv1=affiliate&amp;sv_campaign_id=323889&amp;awc=23924_1726830129_cd015cdaed37dc93b83f98c609e4a345</t>
  </si>
  <si>
    <t>Milch und Molkereierzeugnisse, Hefen, Öle und Fette.</t>
  </si>
  <si>
    <t>PetBalance Anti-Hairball Paste</t>
  </si>
  <si>
    <t>https://www.fressnapf.at/p/petbalance-support-anti-hairball-paste-100g-1002684011/</t>
  </si>
  <si>
    <t>Malzpulver (60%), Öle und Fette (33%), Hühnerprotein (2%), Hefen</t>
  </si>
  <si>
    <t>PetBalance</t>
  </si>
  <si>
    <t>PetBalance Support Anti-Hairball Paste</t>
  </si>
  <si>
    <t>PetBalance Support Lachsöl</t>
  </si>
  <si>
    <t>https://www.fressnapf.at/p/petbalance-support-lachsoel-250-ml-1009498/</t>
  </si>
  <si>
    <t>PetBalance Haut + Fell</t>
  </si>
  <si>
    <t>Distelöl, Leinöl, Maiskeimöl, Walnussöl, Sonnenblumenöl, Nachtkerzenöl</t>
  </si>
  <si>
    <t>PetBalance Support Haut + Fell</t>
  </si>
  <si>
    <t>https://www.fressnapf.at/p/petbalance-support-haut--fell-oel-250ml-1009496/</t>
  </si>
  <si>
    <t>PetBalance Beruhigungspaste</t>
  </si>
  <si>
    <t>PetBalance Support Beruhigungspaste</t>
  </si>
  <si>
    <t>https://www.fressnapf.at/p/petbalance-support-beruhigungs-paste-100g-1302078/</t>
  </si>
  <si>
    <t>Hühnerprotein (20%), Rapsöl, Hefen, Hopfenblüten (2%), Melissenblätter (2%), Passionsblume (2%), Johanniskraut (1%)</t>
  </si>
  <si>
    <t>PetBalance Harn-pH Paste</t>
  </si>
  <si>
    <t>PetBalance Support Harn pH Paste</t>
  </si>
  <si>
    <t>https://www.fressnapf.at/p/petbalance-support-harn-ph-paste-100g-1302092/</t>
  </si>
  <si>
    <t>Rapsöl, Malz, Magermilchpulver (laktosefrei), Cranberrypulver (4,6%)</t>
  </si>
  <si>
    <t>PetBalance Lifestart Kitten</t>
  </si>
  <si>
    <t>PetBalance Lifestart Kitten Pase</t>
  </si>
  <si>
    <t>https://www.fressnapf.at/p/petbalance-lifestart-kitten-paste-100g-1002684004/</t>
  </si>
  <si>
    <t>Walnussöl, Magermilchpulver, Molkenproteinkonzentrat, Malz, Fructo-Oligosaccharide (0,5%), Ananaspulver (0,25%), Papayapulver (0,25%)</t>
  </si>
  <si>
    <t>PetBalance Taurin Paste</t>
  </si>
  <si>
    <t>PetBalance Support Taurin Paste</t>
  </si>
  <si>
    <t>https://www.fressnapf.at/p/petbalance-support-taurin-paste-100g-1302079/</t>
  </si>
  <si>
    <t>Magermilchpulver (laktosefrei), Sonnenblumenöl, Malz, Walnussöl</t>
  </si>
  <si>
    <t>PetBalance Support Haut und Fell Tonikum</t>
  </si>
  <si>
    <t xml:space="preserve">PetBalance Haut und Fell Tonikum </t>
  </si>
  <si>
    <t>https://www.fressnapf.at/p/petbalance-support-haut--fell-tonikum-125ml-1302090/</t>
  </si>
  <si>
    <t>Dextrose, Glucose-Fructose-Sirup, Gelatinehydrolysat, Laktose, Hefe</t>
  </si>
  <si>
    <t>MultiFit Paste Malzpaste mit Käse</t>
  </si>
  <si>
    <t>MultiFit</t>
  </si>
  <si>
    <t>https://www.fressnapf.at/p/multifit-paste-3x100g-malzpaste-mit-kaese-1233499/</t>
  </si>
  <si>
    <t>Pflanzliche Nebenerzeugnisse (60% Malz), Öle und Fette, Milch und Molkereierzeugnisse (1% italienischer Hartkäse).</t>
  </si>
  <si>
    <t>MultiFit Malzpaste</t>
  </si>
  <si>
    <t>Beaphar Lachsöl Paste</t>
  </si>
  <si>
    <t>Beaphar</t>
  </si>
  <si>
    <t>https://www.fressnapf.at/p/beaphar-lachsoel-paste-katze-100g-1274516/</t>
  </si>
  <si>
    <t>Fleisch und tierische Nebenerzeugnisse, Öle und Fette, Fisch und Fischnebenerzeugnisse (Lachsöl 20%), Pflanzliche Nebenerzeugnisse.</t>
  </si>
  <si>
    <t>https://www.fressnapf.at/p/beaphar-malt-paste-250g-1036146/?isSearchPage=beaphar</t>
  </si>
  <si>
    <t>Öle und Fette, Milch und Molkereierzeugnisse, Pflanzliche Nebenerzeugnisse (Maltextrakt 11,9%), Hefen.</t>
  </si>
  <si>
    <t>Beaphar Malt Paste</t>
  </si>
  <si>
    <t>Beaphar Multi Vitamin Paste</t>
  </si>
  <si>
    <t>https://www.fressnapf.at/p/beaphar-multi-vitamin-paste-katze-250g-1036611/?isSearchPage=beaphar</t>
  </si>
  <si>
    <t>Öle und Fette, Milch und Molkereierzeugnisse, Pflanzliche Nebenerzeugnisse, Hefen, Mineralstoffe, Getreide.</t>
  </si>
  <si>
    <t>https://www.fressnapf.at/p/beaphar-leinoel-430-ml-1378433/?isSearchPage=beaphar</t>
  </si>
  <si>
    <t>https://www.fressnapf.at/p/beaphar-lachsoel-430-ml-1327531/?isSearchPage=beaphar</t>
  </si>
  <si>
    <t>https://www.fressnapf.at/p/beaphar-lactol-aufzucht-milch-500-g-1297285/?isSearchPage=beaphar</t>
  </si>
  <si>
    <t>Beaphar Lactol Aufzuchtmilch500g</t>
  </si>
  <si>
    <t>Milch und Molkereierzeugnisse, Öle und Fette, Mineralstoffe, Algen.</t>
  </si>
  <si>
    <t>Beaphar Aufzuchtmilch</t>
  </si>
  <si>
    <t>Beaphar Vitamin-B-Komplex</t>
  </si>
  <si>
    <t>https://www.fressnapf.at/p/beaphar-vitamin-b-komplex-50ml-1027960/</t>
  </si>
  <si>
    <t>Glucose, Lactose, Stärke</t>
  </si>
  <si>
    <t>Beaphar Flexifit Paste</t>
  </si>
  <si>
    <t>https://www.zoomalia.at/tierhandlung/flexifit-paste-fur-gelenke-fur-hunde-und-katzen-p-148051.html</t>
  </si>
  <si>
    <t>Öle und Fette, Milch und Milcherzeugnisse, Weichtiere und Krebstiere (Glukosaminhydrochlorid 9%), Algen, Fisch und Fischnebenerzeugnisse (Lachsöl 1%), Mineralstoffe, Getreide, pflanzliche Nebenerzeugnisse.</t>
  </si>
  <si>
    <t xml:space="preserve">Beaphar Flexifit Paste für Gelenke </t>
  </si>
  <si>
    <t>Canina Velox Gelenkenergie</t>
  </si>
  <si>
    <t>Canina</t>
  </si>
  <si>
    <t>https://www.fressnapf.at/p/canina-velox-gelenkenergie-150-g-1063316/</t>
  </si>
  <si>
    <t>100% Grünlipp-Muschelfleischmehl (Perna canaliculus)</t>
  </si>
  <si>
    <t>Canina Seealgenmehl</t>
  </si>
  <si>
    <t>https://www.fressnapf.at/p/canina-seealgenmehl-750-g-1072170/?isSearchPage=canina</t>
  </si>
  <si>
    <t>Seealgen (Ascophyllum nodosum)</t>
  </si>
  <si>
    <t>Canina Kokosöl</t>
  </si>
  <si>
    <t>https://www.fressnapf.at/p/canina-kokosoel-200ml-1230719/?isSearchPage=canina</t>
  </si>
  <si>
    <t>Kokosöl, kaltgepresst</t>
  </si>
  <si>
    <t>Canina Moortränke</t>
  </si>
  <si>
    <t>https://www.fressnapf.at/p/canina-moortraenke-250ml-1264166/?isSearchPage=canina</t>
  </si>
  <si>
    <t>naturbelassenes Moorwasser</t>
  </si>
  <si>
    <t>Canina Herz-Vital</t>
  </si>
  <si>
    <t>Herz-Vital</t>
  </si>
  <si>
    <t>https://canina.de/products/112036-herz-vital</t>
  </si>
  <si>
    <t>Dextrose, Bierhefe inaktiviert (Saccharomyces cerevisiae), Weißdornextrakt (Crataegus)</t>
  </si>
  <si>
    <t>Canina DogStop Forte</t>
  </si>
  <si>
    <t>DogStop Forte</t>
  </si>
  <si>
    <t>https://canina.de/products/142309-dog-stop-forte-tabletten?cat_id=28</t>
  </si>
  <si>
    <t>Hefe, Brennesselkraut, Calciumcarbonat, Chlorophyll (E141)</t>
  </si>
  <si>
    <t>Seealgen Tabletten</t>
  </si>
  <si>
    <t>https://canina.de/products/130504-seealgen-tabletten?cat_id=23</t>
  </si>
  <si>
    <t>Seealgenmehl (Ascophyllum nodosum), Bierhefe inaktiviert (Saccharomyces cerevisiae), Maltodextrin, Talkum</t>
  </si>
  <si>
    <t>Canina Dorschlebertran</t>
  </si>
  <si>
    <t>https://canina.de/products/152001-medizinal-dorschlebertran?cat_id=27</t>
  </si>
  <si>
    <t>100 % Dorschlebertran</t>
  </si>
  <si>
    <t>Canina Eierschalenpulver</t>
  </si>
  <si>
    <t>https://canina.de/products/120208-eierschalenpulver?cat_id=27</t>
  </si>
  <si>
    <t>100 % Eierschale, gemahlen</t>
  </si>
  <si>
    <t>Canina Marine Ölmischung</t>
  </si>
  <si>
    <t>Canina Marine Ölmischung Premium</t>
  </si>
  <si>
    <t>https://canina.de/products/153008-marine-oelmischung-premium?cat_id=27</t>
  </si>
  <si>
    <t>Öle und Fette (natürliches Omega-3-Fischöl, Walnussöl, Arganöl, Hagebuttenkernöl)</t>
  </si>
  <si>
    <t>Canina Lachsöl</t>
  </si>
  <si>
    <t>https://canina.de/products/151004-lachsoel?cat_id=27</t>
  </si>
  <si>
    <t>100% Lachsöl</t>
  </si>
  <si>
    <t>https://canina.de/products/129003-cellulose-pulver?cat_id=21</t>
  </si>
  <si>
    <t>Canina Cellulosepulver</t>
  </si>
  <si>
    <t>Cellulose Pulver, 100%</t>
  </si>
  <si>
    <t>Tierische Nebenprodukte: 72 % Rinderfett &amp; 27,9 % Rinderbrühe (jeweils gekocht und sprühgetrocknet)</t>
  </si>
  <si>
    <t>https://canina.de/products/131204-rinderfettpulver?cat_id=27</t>
  </si>
  <si>
    <t>Canina Rinderfettpulver</t>
  </si>
  <si>
    <t>Canina Cat-Felltop-Gel</t>
  </si>
  <si>
    <t>Canina Felltop-Gel</t>
  </si>
  <si>
    <t>https://canina.de/products/230907-cat-felltop-gel?cat_id=22</t>
  </si>
  <si>
    <t>Traubenzucker, Rohrzucker</t>
  </si>
  <si>
    <t>PETVITAL Bio-Aktivator</t>
  </si>
  <si>
    <t>PETVITAl Bio Aktivator</t>
  </si>
  <si>
    <t>https://canina.de/products/712007-petvital-bio-aktivator?cat_id=25</t>
  </si>
  <si>
    <t>Tierische Nebenerzeugnisse</t>
  </si>
  <si>
    <t xml:space="preserve">PETVITAL Catlax-Gel </t>
  </si>
  <si>
    <t>PETVITAL Catlax-Gel</t>
  </si>
  <si>
    <t>https://canina.de/products/712403-petvital-catlax-gel?cat_id=22</t>
  </si>
  <si>
    <t>Öle &amp; Fette, pflanzliche Nebenerzeugnisse, Malzextrakt, Molkepulver (teilentzuckert)</t>
  </si>
  <si>
    <t>PETVITAL Derm-Caps</t>
  </si>
  <si>
    <t>https://canina.de/products/702121-petvital-derm-caps?cat_id=22</t>
  </si>
  <si>
    <t>Pflanzenöl (Nachtkerzenöl), Fischöl</t>
  </si>
  <si>
    <t>PETVITAL Energy Gel</t>
  </si>
  <si>
    <t>https://canina.de/products/712106-petvital-energy-gel?cat_id=24</t>
  </si>
  <si>
    <t>Canina PETVITAL Energy Gel</t>
  </si>
  <si>
    <t>Öle und Fette, pflanzliche Nebenerzeugnisse</t>
  </si>
  <si>
    <t>CAT-Fell O.K. Pulver</t>
  </si>
  <si>
    <t>https://canina.de/products/201426-cat-fell-ok-pulver?cat_id=22</t>
  </si>
  <si>
    <t>Hefe, Dextrose</t>
  </si>
  <si>
    <t>Cat-Mineral Pulver</t>
  </si>
  <si>
    <t>https://canina.de/products/220816-cat-mineral-pulver?cat_id=23</t>
  </si>
  <si>
    <t>Hefe, Calciumcarbonat, Calcium-Natrium-Magnesiumphosphat, Seealgenmehl, Monocalciumphosphat, Natriumchlorid</t>
  </si>
  <si>
    <t>Cat-Mineral Tabs</t>
  </si>
  <si>
    <t>https://canina.de/products/220922-cat-mineral-tabs?cat_id=23</t>
  </si>
  <si>
    <t>Canina Katzenmilch</t>
  </si>
  <si>
    <t>https://canina.de/products/230808-katzenmilch?cat_id=26</t>
  </si>
  <si>
    <t>Laktose, Molkenpulver, Kokosfett, Sojaproteinisolat, Volleipulver, Lachsöl, Magermilchpulver</t>
  </si>
  <si>
    <t>PETVITAL Arthro Tabletten</t>
  </si>
  <si>
    <t>https://canina.de/products/723003-petvital-arthro-tabletten?cat_id=27</t>
  </si>
  <si>
    <t>Maltodextrin, Weidenrinde (Salix), Teufelskralle, Ingwer, Talkum, Magnesiumstearat, Kartoffelstärke</t>
  </si>
  <si>
    <t>PETVITAL Biotin-Tabs</t>
  </si>
  <si>
    <t>https://canina.de/products/702008-petvital-biotin-tabs?cat_id=22</t>
  </si>
  <si>
    <t>Dextrose, Reisspeisegrieß</t>
  </si>
  <si>
    <t>PETVITAL Derm Liquid</t>
  </si>
  <si>
    <t>https://canina.de/products/702206-petvital-derm-liquid?cat_id=22</t>
  </si>
  <si>
    <t>PETVITAL Vitamin-Tabs</t>
  </si>
  <si>
    <t>PETVITAL Vitamin Tabs</t>
  </si>
  <si>
    <t>https://canina.de/products/712205-petvital-vitamin-tabs?cat_id=24</t>
  </si>
  <si>
    <t>Bierhefe inaktiviert (Saccharomyces cerevisiae), Monocalciumphosphat, Pulvercellulose, Calciumcarbonat, Aroma und appetitanregende Stoffe (Schokoladenaroma 0,5 %)</t>
  </si>
  <si>
    <t>Barfer's Best for Cats</t>
  </si>
  <si>
    <t>https://canina.de/products/228058-barfer-s-best-for-cats?cat_id=27</t>
  </si>
  <si>
    <t xml:space="preserve">Barfer's Best for Cats </t>
  </si>
  <si>
    <t>Calciumcarbonat, Algenkalk, Hefe, Seealgenmehl, Grünlipp-Muschelfleischmehl (Perna canaliculus), Natriumchlorid</t>
  </si>
  <si>
    <t>Cat-Vitamin Tabs</t>
  </si>
  <si>
    <t>https://canina.de/products/210312-cat-vitamin-tabs?cat_id=24</t>
  </si>
  <si>
    <t>Bierhefe inaktiviert (Saccharomyces cerevisiae), Kartoffelstärke, Maltodextrin, Talkum</t>
  </si>
  <si>
    <t>Taurin für Katzen</t>
  </si>
  <si>
    <t>https://canina.de/products/229505-taurin-fuer-katzen?cat_id=27</t>
  </si>
  <si>
    <t>Bierhefe inaktiviert (Saccharomyces cerevisiae)</t>
  </si>
  <si>
    <t>Canina Schlank und Gesund</t>
  </si>
  <si>
    <t>Schlank und Gesund Pulver</t>
  </si>
  <si>
    <t>https://canina.de/products/229055-schlank-gesund?cat_id=21</t>
  </si>
  <si>
    <t>Chitosamin (Erzeugnis aus dem Außenskelett von Krustentieren), Inulin, Seealgenmehl (Ascophyllum nodosum), Spirulina, Anis gemahlen, Ingwer gemahlen, getrocknete Blätter gemahlen (aus Grünem Tee), Fenchel gemahlen, Chilli gemahlen, Gelber Senf gemahlen, Kümmel gemahlen.</t>
  </si>
  <si>
    <t>Hefe, Stärke</t>
  </si>
  <si>
    <t>https://canina.de/products/201525-cat-fell-ok-tabletten?cat_id=22</t>
  </si>
  <si>
    <t>CAT-Fell O.K. Tabletten</t>
  </si>
  <si>
    <t>Canina Rinderblutpulver</t>
  </si>
  <si>
    <t>https://canina.de/products/792016-rinderblutpulver?cat_id=27</t>
  </si>
  <si>
    <t>Bluterzeugnisse (getrocknetes Vollblut vom Rind)</t>
  </si>
  <si>
    <t>Immun-Booster Paste</t>
  </si>
  <si>
    <t>Pflanzliche Öle und Fette (Sonnenblumenöl, raffiniert), Kolostrumpulver 20%, Traubenzucker.</t>
  </si>
  <si>
    <t>Immun Booster Paste</t>
  </si>
  <si>
    <t>Canina Balaststoff Mix</t>
  </si>
  <si>
    <t>Ballaststoff Mix</t>
  </si>
  <si>
    <t>https://canina.de/products/144006-ballaststoff-mix?cat_id=25</t>
  </si>
  <si>
    <t>Apfeltrester, Luzernegrünmehl, Erbsenfaser, Karottentrester, Leinkuchen, gm3- Komplex (Komplex aus MOS = Mannan- Oligosacchariden und Beta-Glucanen aus Hefezellwänden), Bierhefe (Saccharomyces cerevisiae), Topinambur, Kieselgur, Rapsöl, Calciumcarbonat</t>
  </si>
  <si>
    <t>Canina Algenkalk</t>
  </si>
  <si>
    <t>https://canina.de/products/100903-algenkalk?cat_id=23</t>
  </si>
  <si>
    <t>100 % Kalkalge (Lithothamnium calcareum)</t>
  </si>
  <si>
    <t>FeedGreen Pulver Stärkung</t>
  </si>
  <si>
    <t>FeedGreen</t>
  </si>
  <si>
    <t>https://www.fressnapf.at/p/feedgreen-bio-superfood-pulver-staerkung-200g-1331878/?utm_medium=public_affiliates&amp;utm_source=awin&amp;utm_campaign=at-go.kelkoogroup.net&amp;utm_content=0&amp;utm_placement=Vergleichsseiten&amp;utm_term=503421-62B801J8FEGD5ZYE09VQDG0B46EED5&amp;sv1=affiliate&amp;sv_campaign_id=503421&amp;awc=68692_1727095388_a2b0a0a40c08bad43aa868279286c636</t>
  </si>
  <si>
    <t>*Gerstengras (15%), *Spirulina (15%), *Hagebutten (15%), Zeolith, *Kokosmehl, *Chiasamen (10%), Bierhefe, *Moringablätter (7,5%) *Aus biologischer Landwirtschaft</t>
  </si>
  <si>
    <t>FeedGreen Mobil</t>
  </si>
  <si>
    <t>https://www.feed-green.de/collections/fur-katzen-geeignet/products/feedgreen-pulver-knochen-gelenke</t>
  </si>
  <si>
    <t>*Spirulina (15%), *Hagebutten (15%), *Chiasamen, *Gerstengras (12,5%), Zeolith, Bierhefe, *Kokosmehl, *Teufelskralle (5%), *Moringablätter (5%), *Brennesselblätter</t>
  </si>
  <si>
    <t>FeedGreen Gastros</t>
  </si>
  <si>
    <t>FeedGreen Gastros Vital Pulver Komplex</t>
  </si>
  <si>
    <t>https://www.feed-green.de/collections/fur-katzen-geeignet/products/feedgreen-pulver-magen-darm</t>
  </si>
  <si>
    <t>*Chiasamen (17,5%), *Hagebutten (15%), *Gerstengras (15%), *Spirulina (12,5), *Kokosmehl (12,5%), Bierhefe, Zeolith, *Moringablätter, *Brennesselblätter.</t>
  </si>
  <si>
    <t>FeedGreen Haut und Fell</t>
  </si>
  <si>
    <t>https://www.feed-green.de/collections/fur-katzen-geeignet/products/feedgreen-bio-erganzungsfuttermittel-haut-fell</t>
  </si>
  <si>
    <t>Bierhefe (25%), *Kokosmehl (25%), *Chiasamen, *Mariendistelsamen (10%), *Gerstengras (10%), *Spirulina</t>
  </si>
  <si>
    <t>FeedGreen Bio Superfood Pulver Knochen und Gelenke</t>
  </si>
  <si>
    <t xml:space="preserve">Doppelherz Anti-Hairball </t>
  </si>
  <si>
    <t>Doppelherz Anti-Hairball Complex 5in1</t>
  </si>
  <si>
    <t>Doppelherz</t>
  </si>
  <si>
    <t>https://www.fressnapf.at/p/doppelherz-anti-hairball-complex-5in1-25x10g-1418861/</t>
  </si>
  <si>
    <t>Fleisch und tierische Nebenerzeugnisse, Malzextrakt (8 %), Lachsöl (2 %), pflanzliche Nebenerzeugnisse, Öle und Fette, Pulvercellulose (1 %), Inulin (0,5 %), Flohsamenschalen (0,5 %), Mineralstoffe</t>
  </si>
  <si>
    <t>Doppelherz Gelenk Complex für Katzen</t>
  </si>
  <si>
    <t>https://www.fressnapf.at/p/doppelherz-gelenk-complex-fuer-katzen-25-stk-1376089/?utm_medium=public_affiliates&amp;utm_source=awin&amp;utm_campaign=at-go.kelkoogroup.net&amp;utm_content=0&amp;utm_placement=Vergleichsseiten&amp;utm_term=503421-824C01J8FFTKRQ81RG93XX4C585HHB&amp;sv1=affiliate&amp;sv_campaign_id=503421&amp;awc=68692_1727096771_5be8a3f2e7103ca495c264f3afb42d9b</t>
  </si>
  <si>
    <t>Fleisch und tierische Nebenerzeugnisse, Öle und Fette (u. a. Lachsöl 3,9 %), Glucosamin (3,5 %), Grünlippmuschelmehl (2 %), Chondroitinsulfat (1 %), Milchprotein, Hagebuttenpulver (0,3 %)</t>
  </si>
  <si>
    <t>Doppelherz Gelenk Complex</t>
  </si>
  <si>
    <t>Doppelherz Gelenk Öl</t>
  </si>
  <si>
    <t>https://www.fressnapf.at/p/doppelherz-gelenk-oel-omega-3-250ml-1376090/</t>
  </si>
  <si>
    <t>Lachsöl (54,4 %), Leinöl (27,6 %), Hanfsamenöl (9,2 %), Grünlippmuschelpulver (3,3 %), Chondroitinsulfat (0,7 %)</t>
  </si>
  <si>
    <t>Doppelherz Haut und Fell Complex</t>
  </si>
  <si>
    <t>Fleisch und tierische Nebenerzeugnisse, Öle und Fette (u. a. Lachsöl 3 %, Borretschöl 1 %), Bierhefe (2 %), Milchprotein</t>
  </si>
  <si>
    <t>https://www.fressnapf.at/p/doppelherz-haut--fell-complex-25x10g-1376242/</t>
  </si>
  <si>
    <t>Doppelherz Haut und Fell Öl</t>
  </si>
  <si>
    <t>https://www.fressnapf.at/p/doppelherz-haut--fell-oel-omega-3-250-ml-1376243/</t>
  </si>
  <si>
    <t>Lachsöl (86,8 %), Nachtkerzenöl (4,6 %), Borretschöl (4 %), Bierhefe (2,2 %)</t>
  </si>
  <si>
    <t>Doppelherz Relax Complex</t>
  </si>
  <si>
    <t>https://www.fressnapf.de/p/doppelherz-relax-complex-25-licks-1800264/</t>
  </si>
  <si>
    <t>Fleisch und tierische Nebenerzeugnisse, Öle und Fette (u.a. 1,5 % Lachsöl), pflanzliche Nebenerzeugnisse, Milcheiweiß-Hydrolysat (0,75 %, Alpha-Casozepin 0,014 %), Milchprotein</t>
  </si>
  <si>
    <t>FeliMove Cardio</t>
  </si>
  <si>
    <t>FeliMove</t>
  </si>
  <si>
    <t>https://fuerdeintier.de/fuer-deine-katze/felimove-cardio</t>
  </si>
  <si>
    <t>Malz, Fischöl (in Triglyceridform, mind. 33% EPA, 22% DHA) 20%, Crataegus-Extrakt 1%, Dextrose, Natriumchlorid</t>
  </si>
  <si>
    <t>FeliMove Digest</t>
  </si>
  <si>
    <t>https://fuerdeintier.de/fuer-deine-katze/felimove-digest</t>
  </si>
  <si>
    <t>Tapioka-Stärke, Proteinhydrolysat (vom Schwein), Kollagenhydrolysat (vom Schwein), Kurkuma (Curcuma longa als Curcumin C3®) 5%, Fenchelsaat (Foetum vulgare) 5%, Magen vom Schwein (Quelle von I.F.) 0,5%, Piper nigrum (Bioperine®) 0,2%</t>
  </si>
  <si>
    <t>FeliMove glucose</t>
  </si>
  <si>
    <t>https://fuerdeintier.de/fuer-deine-katze/felimove-glucose</t>
  </si>
  <si>
    <t>Fleisch- und tierische Nebenprodukte, Milcherzeugnisse, Hefe, Milchprotein- Hydrolysat (Pep2Dia®) 12,5%, Zimt-Extrakt 1,9% </t>
  </si>
  <si>
    <t>FeliMove motion</t>
  </si>
  <si>
    <t>https://fuerdeintier.de/fuer-deine-katze/felimove-motion</t>
  </si>
  <si>
    <t>Malzsirup 40%, Glucosamin-Hydrochlorid 5%, Organischer Schwefel 5%, Fischöl-Konzentrat 3,7%, Natriumcaseinat 2%, Teufelskrallenextrakt (aus Teufelskralle geschnitten) 5%, Muschelfleischmehl aus Perna Canaliculus 1%, Weidenrinde gemahlen 0,1%</t>
  </si>
  <si>
    <t>FeliMove urinary</t>
  </si>
  <si>
    <t>FeliMove digest</t>
  </si>
  <si>
    <t>FeliMove cardio</t>
  </si>
  <si>
    <t>https://fuerdeintier.de/fuer-deine-katze/felimove-urinary</t>
  </si>
  <si>
    <t>Fischöl 53% (in Triglyceridform, davon mind. 50% EPA, 20% DHA), Chondroitinsulfat 26,6%, Cranberry-Extrakt 13,3%. Kapsel: Fischgelatine</t>
  </si>
  <si>
    <t>FeliMove dental</t>
  </si>
  <si>
    <t>https://fuerdeintier.de/fuer-deine-katze/felimove-dental</t>
  </si>
  <si>
    <t>Malz, Fischöl-Konzentrat (mit 70% Eicosapentaensäure) 15%, Ganoderma lucidum (Reishi) Extrakt 5%, Agaricus blazeii murill Extrakt 5%, Coriolus versicolor Extrakt 5%, Cordyceps sinensis Extrakt 5%, Propolis-Extrakt 5%, Dextrose, Natriumchlorid</t>
  </si>
  <si>
    <t>FeliMove gastro</t>
  </si>
  <si>
    <t>https://fuerdeintier.de/fuer-deine-katze/felimove-gastro</t>
  </si>
  <si>
    <t>Natriumbicarbonat 25%, Proteinhydrolysat (vom Schwein), Kollagenhydrolysat (vom Schwein), Tapioka-Stärke, Kamillenblüten 5%, Echtes Süßholz 5%, Bockshornklee 5%, Mischung aus Olivenbaumblättern und Kaktusfeigenkladoden (Mucosave®) 5%</t>
  </si>
  <si>
    <t>FeliMove immune</t>
  </si>
  <si>
    <t>https://fuerdeintier.de/fuer-deine-katze/felimove-immune</t>
  </si>
  <si>
    <t>Malz, Fischöl-Konzentrat (mit 70% Eicosapentaensäure) 14,4%, Palmitoylethanolamid (PEA) 10%, Natriumcaseinat</t>
  </si>
  <si>
    <t>FeliMove senior</t>
  </si>
  <si>
    <t>https://fuerdeintier.de/fuer-deine-katze/felimove-senior</t>
  </si>
  <si>
    <t>Malz, Fischöl (in Triglyceridform, mind. 50% DHA): 20%, Ringelblumen-Extrakt (FloraGlo®) 1%, Ginkgo-Extrakt 1%, Dextrose, Natriumchlorid</t>
  </si>
  <si>
    <t>Annimally</t>
  </si>
  <si>
    <t>https://www.annimally.at/products/haut-fell-pulver-pflege-hund-katze?_gl=1*12sxr8s*_up*MQ..&amp;gclid=Cj0KCQjwo8S3BhDeARIsAFRmkOOkVlIfv6XQGMfHY9rb7s7ecTJjkN20Gmvh4Y3s66WGsIlr4ZT4mcsaAnwnEALw_wcB</t>
  </si>
  <si>
    <t>Haut und Fell Pulver</t>
  </si>
  <si>
    <t>Hefe (inaktive Saccharomyces Cerevisae); 7 % Fischöl aus Sardinen, microverkapselt; 5 % Methylsulfonylmethan (MSM); 5 % Spirulina; Borretschöl; 2 % Nachtkerzenöl; Brennnesselblätter Feinschnitt</t>
  </si>
  <si>
    <t>Annimally Haut und Fell</t>
  </si>
  <si>
    <t>Annimally Relax Liquid</t>
  </si>
  <si>
    <t>https://www.annimally.at/products/relax-tropfen-hund-katze?_gl=1*13htxg2*_up*MQ..&amp;gclid=Cj0KCQjwo8S3BhDeARIsAFRmkOOkVlIfv6XQGMfHY9rb7s7ecTJjkN20Gmvh4Y3s66WGsIlr4ZT4mcsaAnwnEALw_wcB</t>
  </si>
  <si>
    <t>Magnesiumchlorid; Passionsblumenkraut gemahlen; Moringablätter gemahlen; 0,4 % Johanniskraut gemahlen; 0,4 % Hopfenzapfen gemahlen</t>
  </si>
  <si>
    <t>Annimally Gelenk Komplex</t>
  </si>
  <si>
    <t>Gelenk Komplex</t>
  </si>
  <si>
    <t>https://www.annimally.at/products/gruenlippmuschel-pulver-katze?_gl=1*13htxg2*_up*MQ..&amp;gclid=Cj0KCQjwo8S3BhDeARIsAFRmkOOkVlIfv6XQGMfHY9rb7s7ecTJjkN20Gmvh4Y3s66WGsIlr4ZT4mcsaAnwnEALw_wcB</t>
  </si>
  <si>
    <t>Hefe (inaktive Saccharomyces Cerevisae); 22 % Grünlippmuschelfleischmehl getr.; 7% Gelatine von Schweinen; 5,5 % Glucosamin-Hydrochlorid; 4,5 % Teufelskrallenwurzel gemahlen; 3 % Methylsulfonylmethan (MSM); 2,8 % Chondroitin-Sulfat (Schwein); 1,7 % Curcumawurzel gemahlen</t>
  </si>
  <si>
    <t>Bierhefe Tabs</t>
  </si>
  <si>
    <t>https://www.annimally.at/products/bierhefe-hund-katze-kleintier?_gl=1*19rgle9*_up*MQ..&amp;gclid=Cj0KCQjwo8S3BhDeARIsAFRmkOOkVlIfv6XQGMfHY9rb7s7ecTJjkN20Gmvh4Y3s66WGsIlr4ZT4mcsaAnwnEALw_wcB</t>
  </si>
  <si>
    <t>100 % Hefe (inaktivierte Saccharomyces cerevisiae)</t>
  </si>
  <si>
    <t>Annimally Vitamin B Komplex</t>
  </si>
  <si>
    <t>Vitamin B Komplex</t>
  </si>
  <si>
    <t>https://www.annimally.at/products/vitamin-b-hund-katze?_gl=1*mhpp7l*_up*MQ..&amp;gclid=Cj0KCQjwo8S3BhDeARIsAFRmkOOkVlIfv6XQGMfHY9rb7s7ecTJjkN20Gmvh4Y3s66WGsIlr4ZT4mcsaAnwnEALw_wcB</t>
  </si>
  <si>
    <t>45 % Bierhefe (inaktiv), Apfelfaser (getrocknet), Rapsöl (gehärtet)</t>
  </si>
  <si>
    <t>Lax Öl</t>
  </si>
  <si>
    <t>https://www.annimally.at/products/hund-pferd-katze-lachsoel?_gl=1*g3nu8g*_up*MQ..&amp;gclid=Cj0KCQjwo8S3BhDeARIsAFRmkOOkVlIfv6XQGMfHY9rb7s7ecTJjkN20Gmvh4Y3s66WGsIlr4ZT4mcsaAnwnEALw_wcB</t>
  </si>
  <si>
    <t>https://www.annimally.at/products/leinoel-hund-katze-pferd?_gl=1*fa95sn*_up*MQ..&amp;gclid=Cj0KCQjwo8S3BhDeARIsAFRmkOOkVlIfv6XQGMfHY9rb7s7ecTJjkN20Gmvh4Y3s66WGsIlr4ZT4mcsaAnwnEALw_wcB</t>
  </si>
  <si>
    <t>100 % Leinöl</t>
  </si>
  <si>
    <t>Annimally Barf-Öl</t>
  </si>
  <si>
    <t>Animally</t>
  </si>
  <si>
    <t>Barf-Öl</t>
  </si>
  <si>
    <t>https://www.annimally.at/products/omega-3-6-9-barf-oel?_gl=1*eeb6i2*_up*MQ..&amp;gclid=Cj0KCQjwo8S3BhDeARIsAFRmkOOkVlIfv6XQGMfHY9rb7s7ecTJjkN20Gmvh4Y3s66WGsIlr4ZT4mcsaAnwnEALw_wcB</t>
  </si>
  <si>
    <t>52 % Lachsöl; 42% Rapsöl; 2,2% Hanföl; 2,1% Nachtkerzenöl; 1% Borretschöl</t>
  </si>
  <si>
    <t>BellyLove Cat</t>
  </si>
  <si>
    <t>Dr Sam</t>
  </si>
  <si>
    <t>https://www.drsam.de/produktseite/belly-love-cat</t>
  </si>
  <si>
    <r>
      <t>Mariendistel, Kamille, Bierhefe, Flohsamenschalen, Hopfen, Karottenpulver, Topinambur </t>
    </r>
    <r>
      <rPr>
        <i/>
        <sz val="9"/>
        <color rgb="FF333333"/>
        <rFont val="Arial"/>
        <family val="2"/>
      </rPr>
      <t>(Inulin)</t>
    </r>
    <r>
      <rPr>
        <sz val="9"/>
        <color rgb="FF333333"/>
        <rFont val="Arial"/>
        <family val="2"/>
      </rPr>
      <t>, Apfelpektin</t>
    </r>
  </si>
  <si>
    <t>immunBooster Cat</t>
  </si>
  <si>
    <t>https://www.drsam.de/produktseite/immunbooster-cat</t>
  </si>
  <si>
    <t>Kamille, Zistrosenkraut, Gerstengras, Mariendistelsamen, Spirulina, Moringablätter</t>
  </si>
  <si>
    <t>wufit Cat</t>
  </si>
  <si>
    <t>https://www.drsam.de/produktseite/wufit-cat</t>
  </si>
  <si>
    <t>Lynside Forte B100, Kurkuma, Microcrisralline Cellulose, Esparsette, Grünlippmuschel, Kamillenblüten</t>
  </si>
  <si>
    <t>Wondercat</t>
  </si>
  <si>
    <t>https://www.drsam.de/produktseite/wondercat</t>
  </si>
  <si>
    <t>Hefe (inaktive Saccharomyces Cerevisae); Flohsamen, ganz; Mariendistelsamen, gemahlen; Grünlippmuschelfleischmehl, getr.; Glucosamin-Hydrochlorid; Teufelskrallenwurzel gemahlen; Hanföl; Methylsulfonylmethan (MSM); Chondroitin-Sulfat (Schwein); Karotten gemahlen; Seealgenmehl; Kamillenblüten gemahlen</t>
  </si>
  <si>
    <t>RelaxPet Cat</t>
  </si>
  <si>
    <t>https://www.drsam.de/produktseite/relax-pet-cat</t>
  </si>
  <si>
    <t>Bierhefe, Kamille, B-Vitamine, Zink, Folsäure (Vitamine B9), L-Tryptophan</t>
  </si>
  <si>
    <t>GelenkWunder</t>
  </si>
  <si>
    <t>https://www.drsam.de/produktseite/amazing-agility-cat</t>
  </si>
  <si>
    <t>Neuseeländische Grünlippmuschel (gefriergetrocknet), Traubenkernmehl, Ginkgoblätter, Teufelskrallenwurzel, Brennnesselkraut, Ackerschachtelhalmkraut, Sanddornbeeren, Spirulina</t>
  </si>
  <si>
    <t>Colostrum - Kur zur Stärkung des Immunsystems</t>
  </si>
  <si>
    <t>https://www.drsam.de/produktseite/colostrum</t>
  </si>
  <si>
    <t>Entkaseiniertes Kuh Colostrum (Erstmilch)</t>
  </si>
  <si>
    <t>PlaqueOff Pulver</t>
  </si>
  <si>
    <t>https://www.drsam.de/produktseite/plaqueoff-pulver</t>
  </si>
  <si>
    <t>100% Seealgenmehl (Ascophyllum Nodosum)</t>
  </si>
  <si>
    <t>ProDen</t>
  </si>
  <si>
    <t>Foten Dorschöl</t>
  </si>
  <si>
    <t>Dorschöl</t>
  </si>
  <si>
    <t>Foten</t>
  </si>
  <si>
    <t>https://www.drsam.de/produktseite/foten-dorschol</t>
  </si>
  <si>
    <t>Dorschöl 90%, Olivenöl 10%</t>
  </si>
  <si>
    <t>Pets Nature</t>
  </si>
  <si>
    <t>100 % Lachsöl</t>
  </si>
  <si>
    <t>https://www.petsnature.de/pets-nature-lachsoel-1000ml/031240</t>
  </si>
  <si>
    <t>Omega 3-6-9-Öl</t>
  </si>
  <si>
    <t>Omega-3-6-9-Öl</t>
  </si>
  <si>
    <t>https://www.petsnature.de/pets-nature-omega-3-6-9-oel-500ml/031873</t>
  </si>
  <si>
    <t>Distelöl 39,5 %, Hanföl 20 %, Lachsöl 20 %, Chiaöl 10 %, Leinöl 10 %, Kräuter 0,5 % (Pfefferminzblätter, Kümmelfrucht, Bockshornklee, Süßholzwurzel, Kurkumawurzeln, Fenchelsamen, Kamillenblüten)</t>
  </si>
  <si>
    <t>https://www.petsnature.de/pets-nature-hanfoel-250ml/031798</t>
  </si>
  <si>
    <t>100 % Hanföl</t>
  </si>
  <si>
    <t>Distelöl</t>
  </si>
  <si>
    <t>100% Distelöl</t>
  </si>
  <si>
    <t>https://www.petsnature.de/pets-nature-disteloel-250ml/031835</t>
  </si>
  <si>
    <t>HustaVet</t>
  </si>
  <si>
    <t xml:space="preserve">HustaVet BronchialVital </t>
  </si>
  <si>
    <t>cdVet</t>
  </si>
  <si>
    <t>https://www.drsam.de/produktseite/hustavet-bronchialvital</t>
  </si>
  <si>
    <t>15% Honig*, Anisextrakt, Lindenextrakt, Holunderbeersaft*, Lungenkrautextrakt, Primelextrakt, Spitzwegerichextrakt*</t>
  </si>
  <si>
    <t>Basic Care Cat</t>
  </si>
  <si>
    <t>Nikolaus Nature</t>
  </si>
  <si>
    <t>https://www.nikolaus-nature.com/produkte/basic-care-cat-50g-pulver</t>
  </si>
  <si>
    <t>Plasmaprotein, Calciumcarbonat, Monocalciumphosphat, Karottenpulver, Leinsamen, aufgeschlossen, Magnesiumphosphat, Weizenkleie, Natriumchlorid, Calcium-Natrium-Phosphat, Trockenalgen, Buchweizenkeimpulver</t>
  </si>
  <si>
    <t>Coxan Cat</t>
  </si>
  <si>
    <t>https://www.nikolaus-nature.com/produkte/coxan-cat-40g-pulver</t>
  </si>
  <si>
    <t>Omega-3-Fettsäuren (vegan), Plasmaprotein, Grünlippmuschelpulver (Glukosaminsulfat, 90%ig), Fischknorpelpulver, Nachtkerzenölpulver (Gamma-Linolensäure), Chondroitinsulfat (100%ig), Karottenpulver, Katzenminze, Vitamin E (d-Alpha-Tocopherol), Zink (als Zinkchelat des Hydroxyanaloges von Methionin)</t>
  </si>
  <si>
    <t>Corvital Cat</t>
  </si>
  <si>
    <t>https://www.nikolaus-nature.com/produkte/corvital-cat-40g-pulver</t>
  </si>
  <si>
    <t>Plasmaprotein, Leinsamen (aufgeschlossen) Weissdornblätter (Crataegus, gemahlen), Trockenalgen (Schizochytrium spp.), Traubenkernkuchen; Karottenpulver, Magnesiumcitrat, Trockenalgen (Spirulina), Ginkgoblätter (Ginkgo biloba), Zimt, Mistelkraut, Katzenkralle (Uncaria tomentosa), Calciumcarbonat, Acerola, Buchweizenkeimpulver (angereichert mit natürlichen B-Vitaminen)</t>
  </si>
  <si>
    <t>IMUN Cat Para</t>
  </si>
  <si>
    <t>Imun Cat Para</t>
  </si>
  <si>
    <t>https://www.nikolaus-nature.com/produkte/imun-cat-para-35g-pulver</t>
  </si>
  <si>
    <t>Plasmaprotein, Karottenpulver, Trockenalgen (Schizochytrium sp.), Schwarzkümmelkuchen, Chitosan/Chitin (aus Weich- und Krebstieren), Calciumcarbonat, Katzenkralle (Uncaria tomentosa), Neem-Extrakt, Nachtkerzenölpulver (Gamma-Linolensäure), Katzenminze, natürliches Vitamin B aus Buchweizenkeimling, Vitamin E (d-Alpha-Tocopherol), Zink (als Zinkchelat des Hydroxyanaloges von Methionin)</t>
  </si>
  <si>
    <t xml:space="preserve">IMUN Cat </t>
  </si>
  <si>
    <t xml:space="preserve">Imun Cat </t>
  </si>
  <si>
    <t>https://www.nikolaus-nature.com/produkte/imun-cat-50g-pulver</t>
  </si>
  <si>
    <t>Omega-3-Fettsäuren (vegan), Plasmaprotein, Chitosan/Chitin (aus Weich- und Krebstieren), Katzenkralle (Uncaria tomentosa), Schwarzkümmelkuchen, Neem-Extrakt, Nachtkerzenölpulver (Gamma-Linolensäure), Calciumcarbonat, Katzenminze, natürliches Vitamin B aus Buchweizenkeimling, Vitamin E (d-Alpha-Tocopherol), Zink (als Zinkchelat des Hydroxyanaloges von Methionin)</t>
  </si>
  <si>
    <t>Enterogenic Cat</t>
  </si>
  <si>
    <t>https://www.nikolaus-nature.com/produkte/enterogenic-cat-40g-pulver</t>
  </si>
  <si>
    <t>Schwarzkümmelkuchen, kohlensaurer Algenkalk (Lithothamnium calcareum), Leinsamen (aufgeschlossen), Aktivkulturen (Präbiotikum), Omega-3-Fettsäuren (vegan), Inulin (pflanzliches Probiotikum) Magnesium, Folsäure, Kalium, Katzenkralle (Uncaria tomentosa), Magnesiumacetat, Zimtpulver, Natriumchlorid, Neem-Extrakt Kaliumchlorid, Niacinamid, Beta-Carotin, Zink (als Zinkchelat des Hydroxyanaloges von Methionin), Selen (als inaktivierte Selenhefe – Saccharomyces cerevisiae), Enterococcus faecium DSM 10663/NCIMB (1,30x10E11 KBE)</t>
  </si>
  <si>
    <t>Hepaguard Cat</t>
  </si>
  <si>
    <t>https://www.nikolaus-nature.com/produkte/hepaguard-cat-45g-pulver</t>
  </si>
  <si>
    <t>Hydrolysiertes Protein, Mariendistelpresskuchen, Calciumcarbonat, Algenpulver (Spirulina), Artischockenpulver, Magnesiumphosphat, Chitosan/Chitin (aus Weich- und Krebstieren), Kaliumchlorid, Katzenminze, L-Ascorbylpalmitat (geestertes Vitamin C), Magnesiumoxid, Omega-3-Fettsäuren (vegan), Wermutkraut, Vitamin E (d-Alpha-Tocopherol)</t>
  </si>
  <si>
    <t>Renosan Cat</t>
  </si>
  <si>
    <t>https://www.nikolaus-nature.com/produkte/renosan-cat-36g-pulver</t>
  </si>
  <si>
    <t>Chitosan/Chitin (aus Weich- und Krebstieren), Plasmaprotein, Fischölpulver, Calciumcarbonat, Nachtkerzenölpulver (Gamma-Linolensäure), Katzenminze, Magnesiumacetat, Buschklee (Lespedeza capitata), natürliches Vitamin B aus Buchweizenkeimling, Folsäure, Selen (als inaktivierte Selenhefe), Omega-3-Fettsäuren (vegan), Vitamin E (d-Alpha-Tocopherol), L-Carniti</t>
  </si>
  <si>
    <t>Dentes Cat</t>
  </si>
  <si>
    <t>https://www.nikolaus-nature.com/produkte/dentes-cat-35g-pulver</t>
  </si>
  <si>
    <t>Omega-3-Fettsäuren (vegan), hydrolysiertes Kollagen, Plasmaprotein, Fischöl- und Fischknorpelpulver, Calciumcarbonat, Nachtkerzenölpulver (Gamma-Linolensäure), Karottenpulver, Grünlippmuschelpulver (Glukosaminsulfat, 90%ig), Katzenminze, Chondroitinsulfat (100%ig), Kieselerde, Zink-Acetat, Vitamin E (d-Alpha-Tocopherol), Zink (als Zinkchelat des Hydroxyanaloges von Methionin)</t>
  </si>
  <si>
    <t>NN PetEnzym Cat</t>
  </si>
  <si>
    <t>https://www.nikolaus-nature.com/produkte/NN-petenzym-cat-45g-pulver</t>
  </si>
  <si>
    <t>Mangoblätter (Mangifera indica), Ananas (getrocknet), Papaya-Pulver, Kiwi (getrocknet), Wermutkraut (Artemisia absinthium), Fenchelsamen (Foeniculum vulgare), Yucca schidigera, Eberraute (Artemisia abrotanum).</t>
  </si>
  <si>
    <t>OV-Derma Cat</t>
  </si>
  <si>
    <t>https://www.nikolaus-nature.com/produkte/ov-derma-cat-40g-pulver</t>
  </si>
  <si>
    <t>Plasmaprotein, Leinsamen (aufgeschlossen), Calcium, Calciumcarbonat, Omega-3-Fettsäuren (vegan), Nachtkerzenölpulver (Gamma-Linolensäure), Schwarzkümmelkuchen, Zimtpulver, Katzenkralle (Uncaria tomentosa), Papaya-Extrakt, Neem-Extrakt, Silizium (Zeolith), Folsäure, Vitamin E (d-Alpha-Tocopherol), Vitamin C (als L-Ascorbinsäure), Biotin, Zink (als Zinkchelat des Hydroxyanaloges von Methionin), Bentonit-Montmorillonit, Fischölpulver</t>
  </si>
  <si>
    <t>Feline Sensitiv</t>
  </si>
  <si>
    <t>Feline sensitiv - Nährstoffergänzung für Katzen</t>
  </si>
  <si>
    <t>napfcheck</t>
  </si>
  <si>
    <t>https://www.napfcheck-shop.at/produkt/napfcheck-feline-sensitive-naehrstoffergaenzung-fuer-katzen/</t>
  </si>
  <si>
    <t>Calciumcarbonat, Natriumchlorid, Magnesiumoxid</t>
  </si>
  <si>
    <t>MCT Öl</t>
  </si>
  <si>
    <t>MCT-Öl für Hunde und Katzen</t>
  </si>
  <si>
    <t>Mittelkettige Fettsäuren* aus pflanzlichen Fetten und Ölen (*98 – 99% Capryl- und Caprinsäure)</t>
  </si>
  <si>
    <t>https://www.napfcheck-shop.at/produkt/napfcheck-mct-oel-fuer-hunde-und-katzen/</t>
  </si>
  <si>
    <t>Vet-Met Methionin</t>
  </si>
  <si>
    <t>Novomineral Vet-MET Methionin</t>
  </si>
  <si>
    <t>https://www.napfcheck-shop.at/produkt/napfcheck-novomineral-vet-met-fuer-hunde-und-katzen/</t>
  </si>
  <si>
    <t>Cranberry und Hagebutte (gemahlen)</t>
  </si>
  <si>
    <t>Kaliumcitrat</t>
  </si>
  <si>
    <t>https://www.napfcheck-shop.at/produkt/napfcheck-kaliumcitrat-fuer-hunde-und-katzen/</t>
  </si>
  <si>
    <t>L-Carnitin</t>
  </si>
  <si>
    <t>L-Carnitin für Hunde und Katzen</t>
  </si>
  <si>
    <t>https://www.napfcheck-shop.at/produkt/napfcheck-l-carnitin-fuer-hunde-und-katzen/</t>
  </si>
  <si>
    <t>Magnesiumfumarat, Zellulose</t>
  </si>
  <si>
    <t>https://www.napfcheck-shop.at/produkt/napfcheck-gruenlippmuschel-fuer-hunde-und-katzen/</t>
  </si>
  <si>
    <r>
      <t>100% Muschelkonzentrat (neuseeländische Grünlippmuschel </t>
    </r>
    <r>
      <rPr>
        <i/>
        <sz val="8"/>
        <color rgb="FF5D6167"/>
        <rFont val="Poppins"/>
      </rPr>
      <t>Perna canaliculus</t>
    </r>
    <r>
      <rPr>
        <sz val="8"/>
        <color rgb="FF5D6167"/>
        <rFont val="Poppins"/>
      </rPr>
      <t>)</t>
    </r>
  </si>
  <si>
    <t>Bierhefe PLUS</t>
  </si>
  <si>
    <t>Bierhefe Plus mit wichtigen Spurenelementen</t>
  </si>
  <si>
    <t>https://www.napfcheck-shop.at/produkt/napfcheck-bierhefe-plus-kupfer-zink-mangan-fuer-hunde/</t>
  </si>
  <si>
    <t>Taurin für Hunde und Katzen</t>
  </si>
  <si>
    <t>https://www.napfcheck-shop.at/produkt/napfcheck-taurin-fuer-hunde-und-katzen/</t>
  </si>
  <si>
    <t>Kaliumcitrat, Zellulose</t>
  </si>
  <si>
    <t>Lebertran Hunde und Katzen</t>
  </si>
  <si>
    <t>https://www.napfcheck-shop.at/produkt/napfcheck-lebertran-fuer-hunde-und-katzen/</t>
  </si>
  <si>
    <t>Algenölkapseln</t>
  </si>
  <si>
    <t>Algenölkapseln - Omega 3 - Hunde und Katzen</t>
  </si>
  <si>
    <t>https://www.napfcheck-shop.at/produkt/napfcheck-algenoelkapseln-omega-3-fuer-hunde-und-katzen/</t>
  </si>
  <si>
    <r>
      <t>Algenöl (</t>
    </r>
    <r>
      <rPr>
        <i/>
        <sz val="8"/>
        <color rgb="FF5D6167"/>
        <rFont val="Poppins"/>
      </rPr>
      <t>Schizochytrium sp.</t>
    </r>
    <r>
      <rPr>
        <sz val="8"/>
        <color rgb="FF5D6167"/>
        <rFont val="Poppins"/>
      </rPr>
      <t>); Cellulose (Kapsel)</t>
    </r>
  </si>
  <si>
    <t>https://www.napfcheck-shop.at/produkt/napfcheck-bio-nachtkerzenoel-kaltgepresst-fuer-hunde-und-katzen/</t>
  </si>
  <si>
    <t>Eierschalenpulver - Hunde und Katzen</t>
  </si>
  <si>
    <t>https://www.napfcheck-shop.at/produkt/napfcheck-eierschalenpulver-fuer-hunde-und-katzen/</t>
  </si>
  <si>
    <t>Monocalciumphosphat</t>
  </si>
  <si>
    <t>Monocalciumphosphat Hunde und Katzen</t>
  </si>
  <si>
    <t>https://www.napfcheck-shop.at/produkt/monocalciumphosphat/</t>
  </si>
  <si>
    <t>100 % Monocalciumphosphat</t>
  </si>
  <si>
    <t>Omega-3 Öl - für Hunde und Katzen</t>
  </si>
  <si>
    <t>https://www.napfcheck-shop.at/produkt/napfcheck-omega-3-oel-fuer-hunde-und-katzen/</t>
  </si>
  <si>
    <t>100% Fischöl (aus nachhaltigem Wildfischfang)</t>
  </si>
  <si>
    <t>Calciumcarbonat</t>
  </si>
  <si>
    <t>https://www.napfcheck-shop.at/produkt/calciumcarbonat/</t>
  </si>
  <si>
    <t>100 % Calciumcarbonat</t>
  </si>
  <si>
    <t>MCT-Pulver</t>
  </si>
  <si>
    <t>https://www.napfcheck-shop.at/produkt/napfcheck-mct-pulver-fuer-hunde-und-katzen/</t>
  </si>
  <si>
    <t>MCT-Pulver aus Kokosöl, Akazienfaser</t>
  </si>
  <si>
    <t>Weizenkeimöl</t>
  </si>
  <si>
    <t>https://www.napfcheck-shop.at/produkt/napfcheck-weizenkeimoel-kaltgepresst-fuer-hunde-und-katzen/</t>
  </si>
  <si>
    <t>100% Weizenkeimöl, kaltgepresst</t>
  </si>
  <si>
    <t>Cranberryfaser - Hunde und Katzen</t>
  </si>
  <si>
    <t>https://www.napfcheck-shop.at/produkt/napfcheck-cranberryfaser-fuer-hunde-und-katzen/</t>
  </si>
  <si>
    <r>
      <t> </t>
    </r>
    <r>
      <rPr>
        <sz val="8"/>
        <color rgb="FF5D6167"/>
        <rFont val="Poppins"/>
      </rPr>
      <t>100 % Cranberryfaser</t>
    </r>
  </si>
  <si>
    <t>Vita-B Komplex</t>
  </si>
  <si>
    <t>Vita B Komplex Feline für Katzen</t>
  </si>
  <si>
    <t>https://www.napfcheck-shop.at/produkt/napfcheck-vita-b-komplex-feline-fuer-katzen/</t>
  </si>
  <si>
    <t>Molkenfettpulver, Cranberry</t>
  </si>
  <si>
    <t>Seealgenmehl - Hunde und Katzen</t>
  </si>
  <si>
    <t>https://www.napfcheck-shop.at/produkt/napfcheck-seealgenmehl-fuer-hunde-und-katzen/</t>
  </si>
  <si>
    <r>
      <t>100 %  Bio Seealgenmehl (</t>
    </r>
    <r>
      <rPr>
        <i/>
        <sz val="8"/>
        <color rgb="FF5D6167"/>
        <rFont val="Poppins"/>
      </rPr>
      <t>Ascophyllum nodosum</t>
    </r>
    <r>
      <rPr>
        <sz val="8"/>
        <color rgb="FF5D6167"/>
        <rFont val="Poppins"/>
      </rPr>
      <t>)</t>
    </r>
  </si>
  <si>
    <t>Calciumglukonat</t>
  </si>
  <si>
    <t>https://www.napfcheck-shop.at/produkt/napfcheck-calciumglukonat-fuer-hunde-und-katzen/</t>
  </si>
  <si>
    <t>100 % Calciumglukonat</t>
  </si>
  <si>
    <t>DHA Algenpulver - für Hunde und Katzen</t>
  </si>
  <si>
    <t>https://www.napfcheck-shop.at/produkt/napfcheck-dha-algenpulver-fuer-hunde-und-katzen/</t>
  </si>
  <si>
    <r>
      <t>100% Mikroalgenpulver (</t>
    </r>
    <r>
      <rPr>
        <i/>
        <sz val="8"/>
        <color rgb="FF5D6167"/>
        <rFont val="Poppins"/>
      </rPr>
      <t>Schizochytrium sp.</t>
    </r>
    <r>
      <rPr>
        <sz val="8"/>
        <color rgb="FF5D6167"/>
        <rFont val="Poppins"/>
      </rPr>
      <t>)</t>
    </r>
  </si>
  <si>
    <t>Futterzellulose - Hunde und Katzen</t>
  </si>
  <si>
    <t>https://www.napfcheck-shop.at/produkt/napfcheck-futterzellulose-fuer-hunde-katzen/</t>
  </si>
  <si>
    <t> 100% Pulverzellulose</t>
  </si>
  <si>
    <t>Flohsamenschalen gemahlen</t>
  </si>
  <si>
    <t>https://www.napfcheck-shop.at/produkt/napfcheck-flohsamenschalen-gemahlen-fuer-hunde-und-katzen/</t>
  </si>
  <si>
    <t>100% Flohsamenschalen, gemahlen</t>
  </si>
  <si>
    <t>Comfort-Tabs</t>
  </si>
  <si>
    <t>https://www.napfcheck-shop.at/produkt/napfcheck-comfort-tabs-fuer-katzen-in-stress-situationen/</t>
  </si>
  <si>
    <t>Molkeneiweiß, Fleisch und tierische Nebenerzeugnisse (Geflügel), Calciumcarbonat</t>
  </si>
  <si>
    <t>Comfort Tabs für Katzen in Stress-Situationen</t>
  </si>
  <si>
    <t>MSM</t>
  </si>
  <si>
    <t>Pronefra</t>
  </si>
  <si>
    <t>Nefrostat</t>
  </si>
  <si>
    <t>Vital-Öl-Mischung</t>
  </si>
  <si>
    <t>napani</t>
  </si>
  <si>
    <t>Bio Vital-Öl-Mischung Leib und Seele</t>
  </si>
  <si>
    <t>https://napani.at/Bio-Vital-Oel-Mischung-Leib-Seele-f-Hunde-Katzen</t>
  </si>
  <si>
    <t>Bio-Hanföl (CBD frei), Bio-Leinöl, Bio-Leindotteröl</t>
  </si>
  <si>
    <t>Bio-Vital-Öl Mischung Pudelwohl</t>
  </si>
  <si>
    <t>https://napani.at/Bio-Vital-Oel-Mischung-Pudelwohl-f-Hunde-Katzen</t>
  </si>
  <si>
    <t>BIO-Nachtkerzenöl, BIO Borretschöl, BIO Mariendistelöl</t>
  </si>
  <si>
    <t>Bio-Vital-Kokosöl</t>
  </si>
  <si>
    <t>https://napani.at/Bio-Vital-Kokosoel-f-Hunde-Katzen-500ml</t>
  </si>
  <si>
    <t>100 % Bio-Kokosöl</t>
  </si>
  <si>
    <t>Algenkalk Pulver</t>
  </si>
  <si>
    <t>https://napani.at/Algenkalk-Pulver-f-Hunde-Katzen-500g</t>
  </si>
  <si>
    <t>100% Rotalgen (Lithothamnium calcareum), gemahlen.</t>
  </si>
  <si>
    <t>Bio-Hefepulver</t>
  </si>
  <si>
    <t>100% Inaktive Bio Melassehefe in Pulverform  (Saccharamyces cerevisia)</t>
  </si>
  <si>
    <t>https://napani.at/Bio-Hefepulver-f-Hunde-Katzen-500g</t>
  </si>
  <si>
    <t>Bio Bokashi</t>
  </si>
  <si>
    <t>https://napani.at/EMIKOZ-EM-Bio-Bokashi-500g</t>
  </si>
  <si>
    <t>EMIKO</t>
  </si>
  <si>
    <t>Bokashi</t>
  </si>
  <si>
    <t>io-Weizenkleie, Wasser, Bio-Zuckerrohrmelasse, Bio-Liebstöckel, Bio-Joghurt, Bio-Kräuter fermentiert (Anis, Fenchel, Goldrute, Kümmel, Pfefferminze, Rosmarin, Schafgarbe) (DE-ÖKO-003)</t>
  </si>
  <si>
    <t>https://napani.at/Gruenlippmuschelpulver-f-Hunde-Katzen-150g</t>
  </si>
  <si>
    <t>100% Perna Canaliculus (Grünlippmuschelpulver)</t>
  </si>
  <si>
    <t>Herz-Kreislauf-Tinktur</t>
  </si>
  <si>
    <t>https://napani.at/herz-kreislauf-tinktur-ohne-alkohol-hunde-katzen</t>
  </si>
  <si>
    <t>Weissdornblätter, Weissdornblüten, Herzgespann, Ginkgo, Rosmarin</t>
  </si>
  <si>
    <t>GastroWohl Tinktur</t>
  </si>
  <si>
    <t>https://napani.at/magen-tinktur-ohne-alkohohl-hunde-katzen</t>
  </si>
  <si>
    <t>Kamille, Eibischwurzel, Malvenblüten, Melisse</t>
  </si>
  <si>
    <t>HepaWohl Tinktur</t>
  </si>
  <si>
    <t>https://napani.at/Hepawohl-Lebertinktur-f-Hunde-Katzen-100ml</t>
  </si>
  <si>
    <t>HepaWohl Lebertinktur</t>
  </si>
  <si>
    <t>Mariendistel, Artischockenblatt, Kurkuma</t>
  </si>
  <si>
    <t>Hirschgeweihpulver</t>
  </si>
  <si>
    <t>https://napani.at/hirschgeweihpulver-fuer-hunde-u-katzen-300g</t>
  </si>
  <si>
    <t>100% naturreines Hirschgeweihpulver</t>
  </si>
  <si>
    <t>https://napani.at/Kieselgur-f-Hunde-Katzen-450g</t>
  </si>
  <si>
    <t>Kieselgur</t>
  </si>
  <si>
    <t>100% reines Kieselgur-Pulver</t>
  </si>
  <si>
    <t>Kieselgurpulver</t>
  </si>
  <si>
    <t>Marines Phytoplanktonpulver für Hunde und Katzen</t>
  </si>
  <si>
    <t>https://napani.at/marines-phytoplanktonpulver-fuer-hunde-u-katzen-150g</t>
  </si>
  <si>
    <t>100% Marines Phytoplankton Pulver (Nannochloropsis gaditana)</t>
  </si>
  <si>
    <t>Moor (Torf, flüssig)</t>
  </si>
  <si>
    <t>https://napani.at/Naturmoor-fuer-Haustiere-1000ml</t>
  </si>
  <si>
    <t>Naturmoor für Tiere</t>
  </si>
  <si>
    <t>Sonnenmoor</t>
  </si>
  <si>
    <t>NephroWohl Tinktur</t>
  </si>
  <si>
    <t>https://napani.at/Nephrowohl-Harnwegstinktur-f-Hunde-Katzen-100ml</t>
  </si>
  <si>
    <t>Echte Goldrute, Cranberry, Brennnessel, Löwenzahnwurzel</t>
  </si>
  <si>
    <t>Zistrosenmischung</t>
  </si>
  <si>
    <t>Par-A-Way Zistrosenmischung</t>
  </si>
  <si>
    <t>https://napani.at/par-a-way-bio-zistrosemischung-hunde-katzen-250g</t>
  </si>
  <si>
    <t>Cistrosenkrautpulver, Buchweizenkeimpulver, Rosmarinpulver</t>
  </si>
  <si>
    <t>Ulmenrinde Tinktur für Tiere</t>
  </si>
  <si>
    <t>https://napani.at/Gastrowohl-Ulmenrindentinktur-f-Hunde-Katzen-100ml</t>
  </si>
  <si>
    <t xml:space="preserve">Ulmenrinde </t>
  </si>
  <si>
    <t>Vitalmix</t>
  </si>
  <si>
    <t>Vitalmix BIO</t>
  </si>
  <si>
    <t>https://napani.at/Vitalmix-bio-Ergaenzungsfuttermittel-f-Hunde-Katzen-350g</t>
  </si>
  <si>
    <t>Gerstengraspulver, Brokkolipulver, Moringablattpulver, Baobapulver, Spurilna, Hagebuttenpulver, Matcha, Zimtrindenpulver</t>
  </si>
  <si>
    <t>Multi-Mineral Complex</t>
  </si>
  <si>
    <t>Multi-Mineral Complex Pulver</t>
  </si>
  <si>
    <t>https://at.zooexperte.com/marsavet-multi-mineral-125g?gad_source=1&amp;gclid=Cj0KCQjwr9m3BhDHARIsANut04afSl-arqEi4jnezhHw-7s0RC2ZAtxvKxnvPEEtwZf23BKIi4TbOQwaAhZUEALw_wcB</t>
  </si>
  <si>
    <t>Insektenprotein, Hagebuttenpulver, Spirulinapulver, Ascophyllum nodosum, Malzextrakt Pulver, Katzenminze Pulver, Taurin Pulver</t>
  </si>
  <si>
    <t>Dental Zahnpulver</t>
  </si>
  <si>
    <t>Marsavet</t>
  </si>
  <si>
    <t>https://at.zooexperte.com/marsavet/marsavet-dental-pulver-125g</t>
  </si>
  <si>
    <t>Insektenprotein der Schwarzen Soldatenfliege (gemahlen) 57 %, Ascophyllum nodosum (gemahlen) 35 %, Petersilienblätter (gemahlen) 2 %, Katzenminze (gemahlen) 1 %.</t>
  </si>
  <si>
    <t>Vermal Tropfen</t>
  </si>
  <si>
    <t>https://at.zooexperte.com/marsavet/marsavet-vermal-tropfen-50ml</t>
  </si>
  <si>
    <t>Kürbiskernöl, Mariendistel, Kokosöl, Petersilie (Extrakt), Katzenminze (gemahlen), Malzextrakt  </t>
  </si>
  <si>
    <t>Dentalpulver</t>
  </si>
  <si>
    <t>I love my cat</t>
  </si>
  <si>
    <t>https://at.zooexperte.com/i-love-my-cat/ilmc-dental-pulver-35g</t>
  </si>
  <si>
    <t>75% Ascophylum nodosum, 20% Kieselerde (Diatomeen), gemahlen, 5% Petersilienblätter, gemahlen.</t>
  </si>
  <si>
    <t>GastroRelax Pulver</t>
  </si>
  <si>
    <t>https://at.zooexperte.com/i-love-my-cat/ilmc-gastro-relax-pulver-80g?page=2</t>
  </si>
  <si>
    <t>Molkepulver 85,0%, Insektenprotein (gemahlen) 4,0%, Pectin (gemahlen) 4,0%, Bentonit-Montmorilonit (gemahlen) 4,0%, Kurkuma (gemahlen) 2,0%, Trinatriumcitrat (gemahlen) 0,6%, Rote Beete (gemahlen) 0,4%</t>
  </si>
  <si>
    <t>Gelenke und Knochen Kapseln</t>
  </si>
  <si>
    <t>Gelenke und Knochen Kapseln für Katzen</t>
  </si>
  <si>
    <t>https://at.zooexperte.com/i-love-my-cat/ilmc-gelenke-knochen-30kapseln?page=2</t>
  </si>
  <si>
    <t>Ovopet (35% Colagen, 4% Hyaluronsäure, 2% Glucosamin, 2 % Chondroitinsulfat)</t>
  </si>
  <si>
    <t>Immun Kitten Pulver</t>
  </si>
  <si>
    <t>Immun Kitten Pulver für Kätzchen</t>
  </si>
  <si>
    <t>https://at.zooexperte.com/i-love-my-cat/ilmc-immun-kitten-pulver-35g?page=2</t>
  </si>
  <si>
    <t>Insektenprotein (Schwarze Soldatenfliege), gemahlen (56%), Brennnesselsamen, gemahlen (13%), Sandornblätter, gemahlen (13%), Hagebutte, gemahlen (14%), Propolis, gemahlen (4%).</t>
  </si>
  <si>
    <t>Immun Pulver für Katzen</t>
  </si>
  <si>
    <t>https://at.zooexperte.com/i-love-my-cat/ilmc-immun-pulver-80g?page=3</t>
  </si>
  <si>
    <t>Nierenkraft Pulver</t>
  </si>
  <si>
    <t>Nierenkraft Pulver für Katzen</t>
  </si>
  <si>
    <t>https://at.zooexperte.com/i-love-my-cat/ilmc-nierenkraft-pulver-80g?page=3</t>
  </si>
  <si>
    <t>14% Birkenblätter,gemahlen, 14% Bärentraubenblätter,gemahlen, 14% Petersilie, gemahlen, 14% Eibischwurzel,gemahlen, 14% Goldrutenkraut,gemahlen, 14% Brennnesselsamen,gemahlen, 8% Artischockenkraut,gemahlen, 8% Ingwer, gemahlen</t>
  </si>
  <si>
    <t>Vermal Pulver</t>
  </si>
  <si>
    <t>https://at.zooexperte.com/i-love-my-cat/ilmc-vermal-pulver-80g?page=5</t>
  </si>
  <si>
    <t>32% Kürbiskernmehl ohne Schale entölt, 18% Kokosmehl, 16% Karotten, 12% Petersilienblätter, gemahlen, 8% Oreganum gemahlen, 10% Wermutkraut, gemahlen, 4% Ingwerwurzel, geschält, gemahlen.</t>
  </si>
  <si>
    <t>Perro</t>
  </si>
  <si>
    <t>https://www.perro.at/perro-lachsoel/181872</t>
  </si>
  <si>
    <t>Moor Pur für Haustiere</t>
  </si>
  <si>
    <t>Moor (Torf, flüssig).</t>
  </si>
  <si>
    <t>https://www.perro.at/perro-leinoel/181878</t>
  </si>
  <si>
    <t>100% Leinöl (kaltgepresst).</t>
  </si>
  <si>
    <t>Plaque Control</t>
  </si>
  <si>
    <t>https://www.perro.at/perro-plaque-control/14206</t>
  </si>
  <si>
    <t>Kräuter und Gemüse (getrocknet) Koriander, Meeresalgen, Granatapfel, Pfefferminze, Karotte, Zichorie und Petersilie.</t>
  </si>
  <si>
    <t>Multivitaminkonzentrat</t>
  </si>
  <si>
    <t>https://www.perro.at/perro-multivitaminkonzentrat/ZD-124</t>
  </si>
  <si>
    <t>Calciumcarbonat, Monocalciumphosphat (anorganisch), Natriumchlorid, Calcium-Natriumphosphat, Magnesiumoxid.</t>
  </si>
  <si>
    <t>Biotin Spezial</t>
  </si>
  <si>
    <t>https://www.perro.at/perro-biotin-spezial-tabletten/14270</t>
  </si>
  <si>
    <t>Kräutermischung, Algen, Biotin-Vitamin-Vormischung</t>
  </si>
  <si>
    <t>https://www.perro.at/perro-bierhefe/ZD-130</t>
  </si>
  <si>
    <t>Bierhefe 100% (unextrahiert, getrocknet, gemahlen).</t>
  </si>
  <si>
    <t>https://www.perro.at/perro-seealgenmehl/ZD-627</t>
  </si>
  <si>
    <t>Seealgen (getrocknet und gemahlen).</t>
  </si>
  <si>
    <t>Gelatine, Muschelfleischmehl 20%, Mineralstoffe, Hefen, Algen, pflanzliche Nebenerzeugnisse</t>
  </si>
  <si>
    <t>https://www.perro.at/fortan-glykan/FOR-00020</t>
  </si>
  <si>
    <t>Basensalz</t>
  </si>
  <si>
    <t>https://www.perro.at/anibio-basensalz-40g/SB-77209</t>
  </si>
  <si>
    <t>Natriumhydrogencarbonat, Calciumcarbonat, Magnesiumcitrat, Kaliumbicarbonat, Calciumcitrat.</t>
  </si>
  <si>
    <t>Lachs-Hanfsamen-Öl</t>
  </si>
  <si>
    <t>https://www.perro.at/lachs-hanfsamenoel/TY88025</t>
  </si>
  <si>
    <t>Kronch</t>
  </si>
  <si>
    <t>80 % kaltgepresstes Premium-Lachsöl und 20 % Hanfsamenöl.</t>
  </si>
  <si>
    <t>Hanföl + Omega 3&amp;6</t>
  </si>
  <si>
    <t>Pflanzliche Öle (Hanfsamen, Raps, Leinsamen, Mais, Nachtkerzen)</t>
  </si>
  <si>
    <t>https://www.perro.at/perro-hanfoel-omega-3-6/181892</t>
  </si>
  <si>
    <t>Hanf Pulver Relax</t>
  </si>
  <si>
    <t xml:space="preserve">Hanfpulver Relax </t>
  </si>
  <si>
    <t>Perrro</t>
  </si>
  <si>
    <t>https://www.perro.at/hanf-pulver-relax-250-g-perro/181890</t>
  </si>
  <si>
    <t>Hanfmehl, Johannisbrotschoten</t>
  </si>
  <si>
    <t>Ziegen Colostrumkapseln</t>
  </si>
  <si>
    <t>https://www.perro.at/perro-ziegen-colostrumkapseln/13050</t>
  </si>
  <si>
    <t>100% Ziegenkolostrum</t>
  </si>
  <si>
    <t>Balance Herbs</t>
  </si>
  <si>
    <t>Phytovet</t>
  </si>
  <si>
    <t>https://www.perro.at/phytovet-balance-herbs/14555</t>
  </si>
  <si>
    <t>Baldrian, Melisse, Hopfen, Gotu Cola, Johanniskraut, Sandthymian, Kamille, Apfel, Spirulina, Mauritanische Malve.</t>
  </si>
  <si>
    <t>Fit-Barf Mineral</t>
  </si>
  <si>
    <t>CdVet</t>
  </si>
  <si>
    <t>Fit-BARF Mineral</t>
  </si>
  <si>
    <t>https://www.zooroyal.at/cdvet-fit-barf-mineral</t>
  </si>
  <si>
    <t>Eierschalenpulver, Algenkalk, Algen, Bierhefe, Malzkeime, Traubenkerne extrahiert</t>
  </si>
  <si>
    <t>Borretschöl</t>
  </si>
  <si>
    <t>https://www.zooroyal.at/cdvet-singulares-bio-borretschoel-50ml?sDetail=75652</t>
  </si>
  <si>
    <t>100% biologisches Borretschöl </t>
  </si>
  <si>
    <t>https://www.zooroyal.at/cdvet-fit-barf-bio-chlorella-36g?sDetail=75650</t>
  </si>
  <si>
    <t>100% Bio Chlorella</t>
  </si>
  <si>
    <t>https://www.zooroyal.at/cdvet-singulares-leinoel-250ml?sDetail=75653</t>
  </si>
  <si>
    <t>100% Leinöl, kaltgepresst</t>
  </si>
  <si>
    <t>Grünlippmuschel</t>
  </si>
  <si>
    <t>https://www.zooroyal.at/cdvet-fit-barf-gruenlippmuschel-100g</t>
  </si>
  <si>
    <t>Grünlippmuschelpulver (100% Perna canaliculus)</t>
  </si>
  <si>
    <t>Barf MicroMineral</t>
  </si>
  <si>
    <t>https://www.zooroyal.at/cdvet-fit-barf-micromineral-150g?sDetail=75649</t>
  </si>
  <si>
    <t>Algenkalk, Bierhefe, Malzkeime, Algen, Traubenkernmehl</t>
  </si>
  <si>
    <t>Fit-Barf Dorschlebertran</t>
  </si>
  <si>
    <t>100% Dorschlebertran</t>
  </si>
  <si>
    <t>https://www.zooroyal.at/cdvet-fit-barf-dorschlebertran-250ml?sDetail=76301</t>
  </si>
  <si>
    <t>Hagebuttenschalen fein gemahlen</t>
  </si>
  <si>
    <t>https://www.zooroyal.at/cdvet-fit-barf-hagebuttenschalen-fein-150g?sDetail=76281</t>
  </si>
  <si>
    <t xml:space="preserve">Bio Spirulina  </t>
  </si>
  <si>
    <t>https://www.zooroyal.at/cdvet-fit-barf-bio-spirulina-36g?sDetail=40988</t>
  </si>
  <si>
    <t>100% Spirulina</t>
  </si>
  <si>
    <t>Singulares Bio-Kokosraspeln</t>
  </si>
  <si>
    <t>https://www.zooroyal.at/cdvet-singulares-bio-kokosraspeln-250g?sDetail=75655</t>
  </si>
  <si>
    <t>100% Bio-Kokosraspeln</t>
  </si>
  <si>
    <t>Singulares Lachsöl</t>
  </si>
  <si>
    <t>https://www.zooroyal.at/cdvet-singulares-lachsoel-250ml?sDetail=75654</t>
  </si>
  <si>
    <t>FitBarf Omega 3 Öl</t>
  </si>
  <si>
    <t>Fit-Barf Gold Omega-3+D3</t>
  </si>
  <si>
    <t>https://www.zooroyal.at/cdvet-fit-barf-gold-omega-3d3-200-ml?sDetail=75651</t>
  </si>
  <si>
    <t>Leinsamenöl, Lachsöl, Borretschöl</t>
  </si>
  <si>
    <t>Immunbooster Granulat</t>
  </si>
  <si>
    <t>immunbooster Granulat</t>
  </si>
  <si>
    <t>Immunovet</t>
  </si>
  <si>
    <t>https://www.petissimo.at/hund/nahrungserganzungsmittel/immunsystem/immunovet-immunbooster-granulat.html?cjdata=MXxZfDB8WXww&amp;utm_source=affiliate&amp;utm_medium=CJ_4023395&amp;utm_campaign=8280252&amp;utm_content=PetissimoAT_google_all&amp;cjevent=b29d6e397c4911ef8188907a0a18b8f7</t>
  </si>
  <si>
    <t>Fermentierter Weizenkeimextrakt mit Cornflakes, natürliches Aroma.</t>
  </si>
  <si>
    <t>Irostol</t>
  </si>
  <si>
    <t>Irostol Katze</t>
  </si>
  <si>
    <t>Nutrilabs</t>
  </si>
  <si>
    <t>https://www.shop-apotheke.at/tiergesundheit/D18829265/irostol-katze.htm?campaign=priceC/guenstiger/18829265/NOCBP/480768623903571136&amp;expa=gue</t>
  </si>
  <si>
    <t>Calciumcarbonat, Methylsulphonylmethan (MSM) 12,5 %, Fischöl (Quelle von Omegafettsäuren) 12,5 %, Trockenalgen (Schizochytrium), Trockenalgen (Spirulina) (Arthrospira platensis), Erzeugnisse aus der Verarbeitung von Pflanzen: Yamswurzel (Dioscorea opposita) 0,5 %, Artischockenblätter (Cynara cardunculus), Rosenwurz (Rhodiola rosea); Hefenerzeugnisse* (Saccharomyces cerevisiae) 4,0 %, Bockshornkleesaat (Trigonella foenum-graecum) 2,0 %, Süßholzwurzel (Glycyrrhiza glabra) 0,7 %, Trockenalgen (Chlorella sp.), Mono- und Diglyceride von Fettsäuren, Maltodextrin, Weizenstärke (vorverkleistert).</t>
  </si>
  <si>
    <t>https://www.dasgesundetier.de/Vital-komplett-K-100-g-i_117644.html?utm_source=google&amp;utm_medium=cpc&amp;utm_campaign=[AT]%20PMax&amp;gad_source=1&amp;gclid=Cj0KCQjwjNS3BhChARIsAOxBM6pRLBZkz-eTSmkfZqqwhqfEbWXOi74DGmEdN9jxwkcNLt5oZ12gzZsaAjpFEALw_wcB</t>
  </si>
  <si>
    <t>Vital Komplett Cat</t>
  </si>
  <si>
    <t>Das gesunde Tier</t>
  </si>
  <si>
    <t>Calciumcarbonat 20%, Natriumchlorid 10%, Monocalciumphosphat 8%, Pulvercellulose 4%, Magnesiumoxid 0,45%</t>
  </si>
  <si>
    <t>Vetexpert Multivitamin</t>
  </si>
  <si>
    <t>Vetexpert</t>
  </si>
  <si>
    <t>https://www.vetexpert.pet/produkt/vetexpert-multivitamin-30-kapseln-twist-off/</t>
  </si>
  <si>
    <t>2.21.1 Rohlecithine, , 13.6.2 Glycerinmonostearat, 2.20.1 SonnenblumeÖl</t>
  </si>
  <si>
    <t>VetConcept</t>
  </si>
  <si>
    <t>DentaKomplex</t>
  </si>
  <si>
    <t>Rinderfett</t>
  </si>
  <si>
    <r>
      <t>100% Bio-Nachtkerzenöl (</t>
    </r>
    <r>
      <rPr>
        <sz val="9"/>
        <color rgb="FF5D6167"/>
        <rFont val="Calibri"/>
        <family val="2"/>
        <scheme val="minor"/>
      </rPr>
      <t>Oenothera biennis)</t>
    </r>
    <r>
      <rPr>
        <sz val="8"/>
        <color rgb="FF5D6167"/>
        <rFont val="Poppins"/>
      </rPr>
      <t>, kaltgepresst</t>
    </r>
  </si>
  <si>
    <r>
      <rPr>
        <sz val="9"/>
        <rFont val="Calibri"/>
        <family val="2"/>
        <scheme val="minor"/>
      </rPr>
      <t> </t>
    </r>
    <r>
      <rPr>
        <sz val="8"/>
        <rFont val="Calibri"/>
        <family val="2"/>
        <scheme val="minor"/>
      </rPr>
      <t>100% Lebertran</t>
    </r>
  </si>
  <si>
    <t> Bierhefe (91 %), Hagebuttenpulver</t>
  </si>
  <si>
    <t>Vitality Cat</t>
  </si>
  <si>
    <t>4-Beiner</t>
  </si>
  <si>
    <t>https://4-beiner.com/produkt/vitality-cat/</t>
  </si>
  <si>
    <r>
      <t>mikrokristalline Cellulose, Omega-3 aus Alge, Taurin, konjugierte Linolsäure 15 mg, Eisen, Vitamin B</t>
    </r>
    <r>
      <rPr>
        <sz val="8"/>
        <color rgb="FF565655"/>
        <rFont val="Futura-pt"/>
      </rPr>
      <t>3</t>
    </r>
    <r>
      <rPr>
        <sz val="11"/>
        <color rgb="FF565655"/>
        <rFont val="Futura-pt"/>
      </rPr>
      <t>, Vitamin E, Vitamin C, Zink, Vitamin A, Vitamin B</t>
    </r>
    <r>
      <rPr>
        <sz val="8"/>
        <color rgb="FF565655"/>
        <rFont val="Futura-pt"/>
      </rPr>
      <t>1</t>
    </r>
    <r>
      <rPr>
        <sz val="11"/>
        <color rgb="FF565655"/>
        <rFont val="Futura-pt"/>
      </rPr>
      <t>, Vitamin B</t>
    </r>
    <r>
      <rPr>
        <sz val="8"/>
        <color rgb="FF565655"/>
        <rFont val="Futura-pt"/>
      </rPr>
      <t>2</t>
    </r>
    <r>
      <rPr>
        <sz val="11"/>
        <color rgb="FF565655"/>
        <rFont val="Futura-pt"/>
      </rPr>
      <t>, Kupfer, Vitamin B</t>
    </r>
    <r>
      <rPr>
        <sz val="8"/>
        <color rgb="FF565655"/>
        <rFont val="Futura-pt"/>
      </rPr>
      <t>6</t>
    </r>
    <r>
      <rPr>
        <sz val="11"/>
        <color rgb="FF565655"/>
        <rFont val="Futura-pt"/>
      </rPr>
      <t>, Vitamin B</t>
    </r>
    <r>
      <rPr>
        <sz val="8"/>
        <color rgb="FF565655"/>
        <rFont val="Futura-pt"/>
      </rPr>
      <t>12</t>
    </r>
    <r>
      <rPr>
        <sz val="11"/>
        <color rgb="FF565655"/>
        <rFont val="Futura-pt"/>
      </rPr>
      <t>, Vitamin D</t>
    </r>
    <r>
      <rPr>
        <sz val="8"/>
        <color rgb="FF565655"/>
        <rFont val="Futura-pt"/>
      </rPr>
      <t>3</t>
    </r>
    <r>
      <rPr>
        <sz val="11"/>
        <color rgb="FF565655"/>
        <rFont val="Futura-pt"/>
      </rPr>
      <t>, Mangan, Folsäure, Biotin, Selen</t>
    </r>
  </si>
  <si>
    <t>Beauty</t>
  </si>
  <si>
    <t>https://4-beiner.com/produkt/beauty-cat/</t>
  </si>
  <si>
    <t>Bierhefe 86%, Omega 3 -Fettsäuren aus der Alge, Methyl Sulfonyl Methane (MSM), Mariendistel.</t>
  </si>
  <si>
    <t>Denty Dog and Cat</t>
  </si>
  <si>
    <t>https://4-beiner.com/produkt/denty-dog-cat/</t>
  </si>
  <si>
    <t>Ascophyllum nodosum 75 %, Spirulina (Burma) 15 %, Pfefferminze 5 %.</t>
  </si>
  <si>
    <t>Almapharm</t>
  </si>
  <si>
    <t>https://www.almapharm.de/produkt/multivital-k-100-g/</t>
  </si>
  <si>
    <t>MultiVital h.a.</t>
  </si>
  <si>
    <r>
      <t> </t>
    </r>
    <r>
      <rPr>
        <sz val="7"/>
        <color rgb="FF2B140E"/>
        <rFont val="Segoe UI"/>
        <family val="2"/>
      </rPr>
      <t>Calciumcarbonat 20 %, Natriumchlorid 10 %, Monocalciumphosphat 8 %, Pulvercellulose 4 %, Magnesiumoxid 0,45 %</t>
    </r>
  </si>
  <si>
    <t>Multivital h.a.</t>
  </si>
  <si>
    <t>Almazyme</t>
  </si>
  <si>
    <t>Griebenmehl (Schwein), verarbeitetes tierisches Protein (Schweinepankreas), Weizendunst, Hefen, Ananaskonzentrat, Fructo-Oligosaccharide, Mohave-Palmlilie (Yucca)</t>
  </si>
  <si>
    <t>https://www.drhoelter.de/almapharm-astoral-almazyme-hund-katze-nahrungsergaenzung-verdauung-bauchspeicheldruese.html</t>
  </si>
  <si>
    <t>Almapharm Artiflex K</t>
  </si>
  <si>
    <t>Artiflex K</t>
  </si>
  <si>
    <t>https://www.shop-apotheke.at/tiergesundheit/upmH2RHFE/almapharm-astorin-artiflex-k.htm?offerId=47096275&amp;expa=gglp&amp;expa=gglp&amp;adword=google-mp-product/S-AT_MP_PMAX_All_Products//upmH2RHFE_2927&amp;gclid=Cj0KCQjwsoe5BhDiARIsAOXVoUu01kBodJjlxUDh7VAZu4bHobrZp2jaCq_KMXSELpVjfNjHMpAPwG4aAirWEALw_wcB</t>
  </si>
  <si>
    <t> Glucosamin aus tierischem Gewebe (Schalentiere) 20 %, Methylsulphonylmethan (MSM) 12 %, Gelatine (Schwein) 12 %, Weichtiermehl (Grünlippmuschel) 11 %, Chondroitinsulfat (Huhn) 6 %, Dicalciumphosphat, Hyaluronsäure 2,5 %, Calciumstearat, Milcherzeugnisse und daraus gewonnene Erzeugnisse, Nebenprodukt aus der Verarbeitung von frischen Cantaloupe-Melonen 0,4 %</t>
  </si>
  <si>
    <t>B-Decaplex</t>
  </si>
  <si>
    <t>https://www.shop-apotheke.at/tiergesundheit/upmLUF7DF/almapharm-astorin-b-decaplex-h-a.htm?offerId=47096291&amp;expa=gglp&amp;expa=gglp&amp;adword=google-mp-product/S-AT_MP_PMAX_All_Products//upmLUF7DF_2927&amp;gclid=Cj0KCQjwsoe5BhDiARIsAOXVoUtDMYd-TLcakFhOHPK4fMvUrVsXsiIQie6pXhi1sQqEzkVj6EgtToAaAkKAEALw_wcB</t>
  </si>
  <si>
    <t>Dicalciumphosphat, Traubenzucker, Calciumstearat</t>
  </si>
  <si>
    <t>B12 Tabs</t>
  </si>
  <si>
    <t>https://www.almapharm.de/produkt/b12-tabs-400-tabletten/</t>
  </si>
  <si>
    <t>Gelatine, Traubenzucker, Calciumstearat</t>
  </si>
  <si>
    <t>Cardiotin K</t>
  </si>
  <si>
    <t>https://www.almapharm.de/produkt/cardiotin-k/</t>
  </si>
  <si>
    <t>Kartoffelstärke, Erzeugnis tierischen Ursprungs (Hühnerleber), Milchpulver, Algenöl</t>
  </si>
  <si>
    <t>Colactiv</t>
  </si>
  <si>
    <t xml:space="preserve">Colactiv </t>
  </si>
  <si>
    <t>https://www.almapharm.de/produkt/colactiv-100-g/</t>
  </si>
  <si>
    <t>Fermentierte Milcherzeugnisse, Lactulose, Pektin, Fructo-Oligo-Saccchardie, Aloe Vera</t>
  </si>
  <si>
    <t>CystoCalm</t>
  </si>
  <si>
    <t>https://www.almapharm.de/produkt/cystocalm-120g/</t>
  </si>
  <si>
    <t>Kartoffelstärke, Glukosamin, Kürbiskerne, Hühnreleber, Chondroitinsulfat, Milchprotein-Hydrolysat, Hyaluronsäure</t>
  </si>
  <si>
    <t>EnteriCream</t>
  </si>
  <si>
    <t>https://www.almapharm.de/produkt/entericream/</t>
  </si>
  <si>
    <t>Fleisch und tierische Nebenerzeugnisse, Pflanzenöl, Hefenerzeugnisse, Eiprodukte, getrocknet</t>
  </si>
  <si>
    <t>FibroSan</t>
  </si>
  <si>
    <t>https://www.shop-apotheke.at/tiergesundheit/upm7DZYLA/almapharm-fibrosan-fuer-hunde-und-katzen.htm?offerId=47096188&amp;expa=gglp&amp;expa=gglp&amp;adword=google-mp-product/S-AT_MP_PMAX_All_Products//upm7DZYLA_2927&amp;gclid=Cj0KCQjwsoe5BhDiARIsAOXVoUtj8UxLLAWroR9dZJ5eHRGrR0s3XAFI4MW1usZocMYXRiXa8AI5khMaAm_PEALw_wcB</t>
  </si>
  <si>
    <t>Pulvercellulose 90 %, Flohsamen­schalen 5 %, Apfeltrester, getrocknet 3 %, Hefen</t>
  </si>
  <si>
    <t>Astorin FLUTD</t>
  </si>
  <si>
    <t>https://www.shop-apotheke.at/tiergesundheit/upmET7FWP/almapharm-astorin-flutd.htm?campaign=priceC/billiger/marketplace/upmET7FWP/5ae572593e414a38b8be79b91be81efa&amp;expa=bil&amp;soluteclid=5ae572593e414a38b8be79b91be81efa</t>
  </si>
  <si>
    <r>
      <t>:</t>
    </r>
    <r>
      <rPr>
        <sz val="7"/>
        <color rgb="FF2B140E"/>
        <rFont val="Segoe UI"/>
        <family val="2"/>
      </rPr>
      <t>Glucosamin (als N-Acetyl-Glucosamin) 60 %, Kartoffelstärke, Dicalcium-phosphat, Maltodextrin, Calciumstearat.</t>
    </r>
  </si>
  <si>
    <t>FLUTD Oxal</t>
  </si>
  <si>
    <t>https://www.shop-apotheke.at/tiergesundheit/upmUR2ZR3/almapharm-astorin-flutd-oxal.htm?campaign=priceC/guenstiger/marketplace/upmUR2ZR3/NOCBP/299104564156289503&amp;expa=gue</t>
  </si>
  <si>
    <t>Glucosamin (als N-Acetyl-Glucosamin) 50 %, Weizenkleber, Milcherzeugnisse und daraus gewonnene Erzeugnisse, Dicalciumphosphat, Natriumhydrogencarbonat, Magnesiumstearat</t>
  </si>
  <si>
    <t>GastroCalm</t>
  </si>
  <si>
    <t>https://www.almapharm.de/produkt/gastrocalm-tabs-20-tabletten/</t>
  </si>
  <si>
    <t>Fermentiertes Sojaprotein, Erzeugnis aus der Verarbeitung von frischem Obst und Gemüse, Pektin, Erzeugnisse aus der Verarbeitung von frischen Kräutern (Kamillenblüten, Mädesüß), Calciumcarbonat</t>
  </si>
  <si>
    <t>Gerial</t>
  </si>
  <si>
    <t>https://www.almapharm.de/produkt/gerial-150-ml/</t>
  </si>
  <si>
    <t>Lachsöl, Erzeugnis aus der Verarbeitung von frischen Cantaloupe-Melonen, Algenöl</t>
  </si>
  <si>
    <t>GingiVit</t>
  </si>
  <si>
    <t>https://www.almapharm.de/produkt/ginigvit-125-tabletten/</t>
  </si>
  <si>
    <t>Milcherzeugnisse und daraus gewonnene Erzeugnisse, Hefenerzeugnisse, Ananaskonzentrat, Dicalciumphosphat, Eiprodukte</t>
  </si>
  <si>
    <t>Hepato K</t>
  </si>
  <si>
    <t>https://www.almapharm.de/produkt/hepato-k-100-g/</t>
  </si>
  <si>
    <t>Milchpulver, Kartoffelstärke, Mariendistelfrüchte, Erzeugnis tierischen Ursprungs (Hühnerleber), Erzeugnis aus der Verarbeitung frischer Cantaloupe-Melone</t>
  </si>
  <si>
    <t>Immustim K</t>
  </si>
  <si>
    <t>Immustim K72</t>
  </si>
  <si>
    <t>https://www.shop-apotheke.at/tiergesundheit/upmF7E324/almapharm-astorin-immustim-k-preissenkung-mehr-inhalt.htm?offerId=47096264&amp;expa=gglp&amp;expa=gglp&amp;adword=google-mp-product/S-AT_MP_PMAX_All_Products//upmF7E324_2927&amp;gclid=CjwKCAjw-JG5BhBZEiwAt7JR6xhkzoPW0xD22sH-BtUXcchtcJIypyLSzVfHJ-7a2pjxsh5hgRwKURoC1-gQAvD_BwE</t>
  </si>
  <si>
    <t>Weizenmehl, Hefen(103/1,6-Beta-D-Glucane) 28,4%, Molkepulver, Calciumphosphat, Milch- und Molkereierzeugnisse, Öle und Fette, Glucose</t>
  </si>
  <si>
    <t>Kalium Tabs</t>
  </si>
  <si>
    <t>https://www.almapharm.de/produkt/kalium-tabs-150-tabletten/</t>
  </si>
  <si>
    <t>Kaliumglukonat, Gelatine (Schwein), Magnesiumesterat</t>
  </si>
  <si>
    <t>Lactogel Pet</t>
  </si>
  <si>
    <t>https://www.shop-apotheke.at/tiergesundheit/upmWDZTFT/almapharm-lactogel-pet-gesunde-darmflora.htm?offerId=47096294&amp;expa=gglp&amp;expa=gglp&amp;adword=google-mp-product/S-AT_MP_PMAX_All_Products//upmWDZTFT_2927&amp;gclid=CjwKCAjw-JG5BhBZEiwAt7JR6wNH91mpYc7Ru9BJbJK1zYZrgRO6Ie0YrJ99quf14I0OBK1e4nxmJBoCD2YQAvD_BwE</t>
  </si>
  <si>
    <t>Traubenzucker, Molkenpulver, teilentzuckert, Haferflockenmehl, Trinatriumcitrat, Natriumchlorid, Kaliumchlorid, Pektine, Fructo-Oligosaccharide, Blutwurz.</t>
  </si>
  <si>
    <t>Methio Tabs K</t>
  </si>
  <si>
    <t>https://www.shop-apotheke.at/tiergesundheit/upm3X4P2R/almapharm-astorin-methio-tabs-k.htm?offerId=47096224&amp;expa=gglp&amp;expa=gglp&amp;adword=google-mp-product/S-AT_MP_PMAX_All_Products//upm3X4P2R_2927&amp;gclid=CjwKCAjw-JG5BhBZEiwAt7JR6wwDnV78n1d_JJmz_FOe6dTJK8SXXNb0Nt9iJPoqN0i9GGfnPGWwdRoCH20QAvD_BwE</t>
  </si>
  <si>
    <t>Kartoffelstärke, Molkepulver, Käse und Käseprodukte, Calciumstearat.</t>
  </si>
  <si>
    <t>MethioCream</t>
  </si>
  <si>
    <t>https://www.vetena.de/almapharm-MethioCream-Hunde-Katzen</t>
  </si>
  <si>
    <t>Erzeugnisse tierischen Ursprungs, pflanzliche Öle</t>
  </si>
  <si>
    <t>PetLax</t>
  </si>
  <si>
    <t>https://www.shop-apotheke.at/tiergesundheit/upmUPWGPH/almapharm-petlax-ballststoffe-von-almapharm.htm?offerId=47096219&amp;expa=gglp&amp;expa=gglp&amp;adword=google-mp-product/S-AT_MP_PMAX_All_Products//upmUPWGPH_2927&amp;gclid=CjwKCAjw-JG5BhBZEiwAt7JR614okD5rgOL0Z-4GQ4Lm79jIXIEMOHSCsanmVXRTfTgLHPoASMtLRhoCo64QAvD_BwE</t>
  </si>
  <si>
    <t>Flohsamenschalen 80 %, Fructo-Oligosaccharide, Hefen, Aloe vera.</t>
  </si>
  <si>
    <t>Sedarom direkt</t>
  </si>
  <si>
    <t>https://www.shop-apotheke.at/tiergesundheit/upm2W3CWG/almapharm-astorin-sedarom-direkt.htm?offerId=47096203&amp;expa=gglp&amp;expa=gglp&amp;adword=google-mp-product/S-AT_MP_PMAX_All_Products//upm2W3CWG_2927&amp;gclid=CjwKCAjw-JG5BhBZEiwAt7JR67iGLkivn-vl2HePQq43ViZeMt2fAaUlJ9gw2FKdpUjBajqkY0JUMxoCZ0IQAvD_BwE</t>
  </si>
  <si>
    <t>Milchprotein-Hydrolysat (bioaktive Decapeptide), Maltodextrin, Kartoffelstärke, Dicalciumphosphat, Kräutermischung (Konzentrate von Baldrianwurzel, Melisse, Johanniskraut, Wilder Grünhafer, Passionsblume), Magnesiumstearat, Milcherzeugnisse und daraus gewonnene Erzeugnisse</t>
  </si>
  <si>
    <t>https://www.shop-apotheke.at/tiergesundheit/upm9LG4WU/almapharm-astorin-virolysin-plus-paste.htm?campaign=priceC/billiger/marketplace/upm9LG4WU/a21f27c26583432a81bd3b70558844fa&amp;expa=bil&amp;soluteclid=a21f27c26583432a81bd3b70558844fa</t>
  </si>
  <si>
    <t>Virolysin Plus</t>
  </si>
  <si>
    <t>Pflanzenöl, Hefenerzeugnisse 13,5 % (mit mind. 80 % 1,3/1,6 Beta-Glucanen), Eiprodukte getrocknet.</t>
  </si>
  <si>
    <t>Virolysin Immu</t>
  </si>
  <si>
    <t>https://www.almapharm.de/produkt/virolysin-immu-30-g/</t>
  </si>
  <si>
    <t>Pflanzenöl, Hefenerzeugnisse, Lachsöl, Eipulver, Süßholzwurzel-Pulver, Echinacea angustifolie radix, Algenöl</t>
  </si>
  <si>
    <t>ViroLysin Pulver</t>
  </si>
  <si>
    <t>https://www.shop-apotheke.at/tiergesundheit/upmD9PF2Y/almapharm-astorin-virolysin-plus-pulver.htm?campaign=affiliate/awin/176013/&amp;expa=ads&amp;subid=at.redbrain.shop&amp;sv1=affiliate&amp;sv_campaign_id=176013&amp;awc=14339_1730458322_d9deae26f5ed438eef8841508bda8815</t>
  </si>
  <si>
    <t> Griebenmehl (Schwein), Hefenerzeugnisse, Traubenzucker, Eiprodukte getrocknet</t>
  </si>
  <si>
    <t>Almapharm Welpenmilch</t>
  </si>
  <si>
    <t>Welpenmilch</t>
  </si>
  <si>
    <t>https://www.amazon.de/almapharm-Alleinfuttermittel-Katzenwelpen-Milchs%C3%A4urebakterien-Fructo-Oligosacchariden/dp/B00DG6C7GA/ref=asc_df_B00DG6C7GA/?tag=detxtgostdde-21&amp;linkCode=df0&amp;hvadid=696432903009&amp;hvpos=&amp;hvnetw=g&amp;hvrand=6681087916898285615&amp;hvpone=&amp;hvptwo=&amp;hvqmt=&amp;hvdev=c&amp;hvdvcmdl=&amp;hvlocint=&amp;hvlocphy=9196302&amp;hvtargid=pla-853508127545&amp;psc=1&amp;language=de_DE&amp;mcid=6118df35f44439ec94a4a4a0157f32e3&amp;gad_source=1</t>
  </si>
  <si>
    <t>Sahnepulver, Eiprodukte getrocknet, Molkenproteinpulver, Dicalciumphosphat, Fructo-Oligo-saccharide, Natriumchlorid, Calciumcarbonat, Hefen, Traubenzucker</t>
  </si>
  <si>
    <t>REICO</t>
  </si>
  <si>
    <t>https://reico-vital.com/de/tier/827-petmin-100g-4262396151094.html</t>
  </si>
  <si>
    <t>100 % Algen (Lithothamnion/Fucus).</t>
  </si>
  <si>
    <t>Petmin</t>
  </si>
  <si>
    <t>Naturkraft Pro 7</t>
  </si>
  <si>
    <t>https://reico-vital.com/de/tier/841-naturkraft-pro-7.html</t>
  </si>
  <si>
    <t>Mikronisierte Luzerne, Saccharose, mikronisiertes Johannisbrot, mikronisierte Gerste, Zuckerrübenmelasse, mikronisierte Pflanzen (Anis, Artischocke, Löwenzahn, Goldruten, Eindorn, Distel, Schachtelhalm, Brennnessel, Eukalyptus, Nelke, Bohnenkraut, Oregano, Myrtenheide, Ysop, Zimt)</t>
  </si>
  <si>
    <t>Naturkraft Pro 8</t>
  </si>
  <si>
    <t>https://reico-vital.com/de/tier/189-naturkraft-pro-8.html</t>
  </si>
  <si>
    <t>Mikronisierte Gerste, Magnesiumchlorid, Saccharose, mikronisierte Luzerne, Rübenzuckermelasse, Johannisbrot, deaktivierte Bierhefe (Saccharomyces cerevisiae), Meeresalgen, mikronisierte Pflanzen (Johanniskraut, Löwenzahn, Anis, Mariendistel, Artischocke, Weißdorn, Brennnessel, Goldruten, Passionsblume, Basilikum, Linde, Zitronengras, Schachtelhalm, gewöhnliche Berberitze, Kamille, Majoran, Salbei, Orange, Eisenkraut, Lavendel, schwarzer Rettich, Erdrauch, Orthosiphon, Boldo, schwarze Johannisbeere)</t>
  </si>
  <si>
    <t>Naturkraft Pro 6</t>
  </si>
  <si>
    <t>Nebenprodukt der Gebäckherstellung, inaktive Bierhefe (Saccharomyces cerevisiae), Lithothamnium (Korallalgenkalk), Blasentang, Fischhydrolysat, mikrofeine Pflanzen (Schachtelhalm, Teufelskralle, schwarze Johannisbeere, Brennnessel, kanadisches Berufkraut, Weidenrinde, Mädesüß, Kurkuma, Katzenkralle, Ingwer, Löwenzahn, Artischocke, Mariendistel, Goldrute, Berberitze, Weißdorn, Hauhechel, schwarzer Rettich, Boldo, Erdrauch, Orthosiphon), Pflanzenkohle</t>
  </si>
  <si>
    <t>https://reico-vital.com/de/tier/41-naturkraft-pro-6-artos-150-g.html</t>
  </si>
  <si>
    <t>Naturkraft Pro 4</t>
  </si>
  <si>
    <t>https://reico-vital.com/de/tier/39-naturkraft-pro-4-epaflor-150-g.html</t>
  </si>
  <si>
    <t>Nebenprodukte der Gebäckindustrie, Lithothamnium (Korallalgenkalk), Magnesiumchlorid, Bierhefe inaktiviert (Saccharomyces cerevisiae), mikrofeine Pflanzen (Brennnessel, Bockshornklee, Süßholz, Sternanis, Löwenzahn, Artischocke, Mariendistel, Goldrute, Berberitze, Schachtelhalm, Weißdorn, Hauhechel, schwarzer Rettich, Boldo, schwarze Johannisbeere, Erdrauch, Orthosiphon), Natriumbicarbonat, Fischhydrolysat, Pflanzenkohle</t>
  </si>
  <si>
    <t>Reico</t>
  </si>
  <si>
    <t>Naturkraft Pro 2</t>
  </si>
  <si>
    <t>https://reico-vital.com/de/tier/37-naturkraft-pro-2-forvit-150-g.html</t>
  </si>
  <si>
    <t>Lithothamnium (Korallalgenkalk), Nebenprodukte der Gebäckindustrie, Dicalciumphosphat, Maniok, Magnesiumchlorid, inaktivierte Bierhefe (Saccharomyces cerevisiae), mikrofeine Pflanzen (Brennnessel, Schachtelhalm, Bockshornklee, Anis, Fenchel, Melisse, Süßholz, Pfefferminze, Steinklee, Rosmarin, Mädesüß, Thymian, Sternanis, Quendel, Bohnenkraut, Salbei, Eisenkraut, Faulbaum, Chinarinde, Huflattich, Teufelskralle, Enzian, Basilikum, Zimt, Kümmel, schwarze Johannisbeere, Distel, Koriander, Erdrauch, Ingwer, Majoran, Ginseng), Natriumbicarbonat, Austernschalen, Meeresalgen, Weizenkeime</t>
  </si>
  <si>
    <t>Naturkraft Pro 1</t>
  </si>
  <si>
    <t>https://reico-vital.com/de/tier/36-naturkraft-pro-1-purgerbe-150-g.html</t>
  </si>
  <si>
    <t>Nebenprodukte der Gebäckindustrie, mikrofeine Pflanzen (Wurmfarn, Knoblauch, Gänsefuß, Faulbaumrinde, Kamille, Zimt, Kürbis, Rhabarber, Rainfarn, korsisches Moos, Santolin (Heiligenkraut), Artemisia cina, Enzian, Kümmel, Kurkuma, Absinth, Eukalyptus, Blaubeere, Dill, Nelke, Zitronengras, Wacholder, Broccoli, Thymian, Aloe)</t>
  </si>
  <si>
    <t>Joint Vital</t>
  </si>
  <si>
    <t>https://reico-vital.com/de/startseite/909-joint-vital-4262396151230.html</t>
  </si>
  <si>
    <t>Muschelfleisch (Perna canaliculus), Algen, Weißfisch, Malz, Traubenkernkonzentrat, Hanföl kaltgepresst, Acerolakirschen, Hanfblätter, Schachtelhalm, Teufelskralle</t>
  </si>
  <si>
    <t>Bio Vit 1 H 86 Phase 1</t>
  </si>
  <si>
    <t>https://reico-vital.com/de/tier/42-bio-vit-1-h-86-150-g.html</t>
  </si>
  <si>
    <t>Bio Vit 2 H 86 Phase 2</t>
  </si>
  <si>
    <t>https://reico-vital.com/de/tier/43-bio-vit-2-h-86-150g.html</t>
  </si>
  <si>
    <t>Lithotamnium (Korallalgenkalk), mikronisierte Luzerne, Johannisbrot, Magnesiumchlorid, Fructooligosaccharide, Natriumsulfat, deaktivierte Bierhefe (Saccharomyces cerevisiae), Meeresalgen (Ascophyllum, Laminaria, Seetang, Spirulina, Chlorella), mikronisierte Pflanzen (Süßholz, Anis, Sternanis, Löwenzahn, Brennnessel, Artischocke, Mariendistel, Goldrute, Berberitze, Schachtelhalm, Weißdorn, Hauhechel, schwarzer Rettich, Erdrauch, Boldo, schwarze Johannisbeere)</t>
  </si>
  <si>
    <t>Bio Vit 3 H 86 Phase 3</t>
  </si>
  <si>
    <t>https://reico-vital.com/de/tier/44-bio-vit-3-h-86-150g.html</t>
  </si>
  <si>
    <t>Trinatriumorthophosphat, Nebenprodukte der Gebäckindustrie, Magnesiumhydroxide, inaktivierte Bierhefe (Saccharomyces cerevisiae), Getreidekeimlinge (Weizen / Gerste), mikrofeine Pflanzen (Ginseng, Ingwer, Bohnenkraut, Salbei, Kolanuss). </t>
  </si>
  <si>
    <t>Lebe-flüssig</t>
  </si>
  <si>
    <t>https://reico-vital.com/de/tier/170-lebe-fluessig-05-l-4262396151520.html</t>
  </si>
  <si>
    <t>Aromen und appetitanregende Stoffe (Artischocke, Weißdorn, Hauhechel, Mariendistel, Berberitze, Bockshornklee, Labkraut, Enzian, Brennnessel, Löwenzahn, Schachtelhalm, schwarzer Winter-Rettich, Goldrute), Bio-Apfelessig, Holzmelasse (beinhaltet Kastanie), Meersalz, Mineralsalze, Mineralwasser.</t>
  </si>
  <si>
    <t>Naturkraft Pro 3</t>
  </si>
  <si>
    <t>https://reico-vital.com/de/tier/38-naturkraft-pro-3-eczepil-150-g.html</t>
  </si>
  <si>
    <t>Kohlensaurer Algenkalk (Lithothamnium calcareum), Leinkuchen, Bierhefe, hydrolisiertes Kollagen, Natriumbicarbonat, Knoblauch (Alium sativum), Weissdornblätter gemahlen (Crataegus), Magnesiumchlorid, Mariendistelpresskuchen, Kurkuma (Curcuma longa), Kümmel, Kürbiskernkuchen, Schachtelhalmkrautpulver (Equisetum), Zimtrinde (Cinnamomum verum) Löwenzahnkraut (Taraxacum), Kamillenblüten (Matricaria chamomilla), Brennnessel (Urtica), Artischocke (Cynara cardunculus), Gänsefingerkraut (Potentilla anserina), Goldrutenkraut (Solidago), Begrannte Berberitze (Berberis aristata), Süßholzwurzel (Glycyrrhiza glabra), Teufelskralle (Herpagophytum radix), Enzianwurzel (Radix Gentianae)</t>
  </si>
  <si>
    <t>Naturkraft Pro 5</t>
  </si>
  <si>
    <t>https://reico-vital.com/de/hunde/1174-naturkraft-pro-5-4262396151131.html</t>
  </si>
  <si>
    <t>Rindertrockenfleisch gemahlen, fermentierte Kräuterpflanzen, Hanföl kaltgepresst, Mariendistelsamen, Fenchel, Löwenzahn getrocknet und gemahlen, Olivenblätter, pektinhaltige Apfelsamen, Leinsamen, Artischocken, Kurkuma, Meeresalgen</t>
  </si>
  <si>
    <t>REAVET</t>
  </si>
  <si>
    <t>https://reavet.de/Omega-3-Lachsoel-100ml?_gl=1*1vjgwi7*_up*MQ..&amp;gclid=Cj0KCQjwj4K5BhDYARIsAD1Ly2rGLts9XA6aX1dUCY0wZ0VATTWpJ6MEbWhVdqCXzBL72ygTkqgyDTUaArphEALw_wcB</t>
  </si>
  <si>
    <t xml:space="preserve">Barf Complete  </t>
  </si>
  <si>
    <t>https://reavet.de/BARF-Complete-100g?_gl=1*1ylq1mw*_up*MQ..&amp;gclid=Cj0KCQjwj4K5BhDYARIsAD1Ly2rGLts9XA6aX1dUCY0wZ0VATTWpJ6MEbWhVdqCXzBL72ygTkqgyDTUaArphEALw_wcB</t>
  </si>
  <si>
    <t>Bierhefe gemahlen, Gerstengras gemahlen, Hagebuttenschalen Feinteile, Moringa gemahlen*, Spirulina gemahlen*, Omega-3-Fischmehl (0,63% DHA, 0,29% EPA) (*aus biologischem Anbau)</t>
  </si>
  <si>
    <t>https://reavet.de/Taurin-100g_1?_gl=1*5wcfd7*_up*MQ..&amp;gclid=Cj0KCQjwj4K5BhDYARIsAD1Ly2rGLts9XA6aX1dUCY0wZ0VATTWpJ6MEbWhVdqCXzBL72ygTkqgyDTUaArphEALw_wcB</t>
  </si>
  <si>
    <t>Spirulina Pulver</t>
  </si>
  <si>
    <t>https://reavet.de/BIO-Spirulina-Pulver-250g?_gl=1*sqrlxl*_up*MQ..&amp;gclid=Cj0KCQjwj4K5BhDYARIsAD1Ly2rGLts9XA6aX1dUCY0wZ0VATTWpJ6MEbWhVdqCXzBL72ygTkqgyDTUaArphEALw_wcB</t>
  </si>
  <si>
    <t>Spirulina Platensis Pulver</t>
  </si>
  <si>
    <t>Eierschalenmehl</t>
  </si>
  <si>
    <t>100% Eierschalenmehl</t>
  </si>
  <si>
    <t>https://reavet.de/Eierschalenpulver-500g?_gl=1*rkpn90*_up*MQ..&amp;gclid=Cj0KCQjwj4K5BhDYARIsAD1Ly2rGLts9XA6aX1dUCY0wZ0VATTWpJ6MEbWhVdqCXzBL72ygTkqgyDTUaArphEALw_wcB</t>
  </si>
  <si>
    <t xml:space="preserve">Eierschalenpulver  </t>
  </si>
  <si>
    <t>https://reavet.de/Leinoel-naturrein-versch-Groessen</t>
  </si>
  <si>
    <t xml:space="preserve">Hanföl  </t>
  </si>
  <si>
    <t>https://reavet.de/Hanfoel-naturrein-versch-Groessen</t>
  </si>
  <si>
    <t>Diabetes Plus</t>
  </si>
  <si>
    <t>https://reavet.de/Diabetes-PLUS-50g?_gl=1*1a33ytl*_up*MQ..&amp;gclid=Cj0KCQjwj4K5BhDYARIsAD1Ly2rGLts9XA6aX1dUCY0wZ0VATTWpJ6MEbWhVdqCXzBL72ygTkqgyDTUaArphEALw_wcB</t>
  </si>
  <si>
    <t>Gemahlene Flohsamenschalen, Lachsmehl, Naturreine Bierhefe</t>
  </si>
  <si>
    <t>Nieren Tonicum</t>
  </si>
  <si>
    <t>https://reavet.de/Nieren-Tonicum-50ml?_gl=1*197f48k*_up*MQ..&amp;gclid=Cj0KCQjwj4K5BhDYARIsAD1Ly2rGLts9XA6aX1dUCY0wZ0VATTWpJ6MEbWhVdqCXzBL72ygTkqgyDTUaArphEALw_wcB</t>
  </si>
  <si>
    <t>Brennnesselkraut, Birkenblätter, Gänsefingerkraut, Goldrutenkraut, Ackerschachtelhalm, Ginkgo</t>
  </si>
  <si>
    <t>https://reavet.de/4in1-Complete-Cat-60g?_gl=1*1g7crrb*_up*MQ..&amp;gclid=Cj0KCQjwj4K5BhDYARIsAD1Ly2rGLts9XA6aX1dUCY0wZ0VATTWpJ6MEbWhVdqCXzBL72ygTkqgyDTUaArphEALw_wcB</t>
  </si>
  <si>
    <t>Lachsmehl Pulver, Acai Pulver, Topinambur Pulver* (*aus biologischem Anbau DE-ÖKO-003)</t>
  </si>
  <si>
    <t>Immun Vital</t>
  </si>
  <si>
    <t>https://reavet.de/Immun-Vital-50g?_gl=1*gnqcvp*_up*MQ..&amp;gclid=Cj0KCQjwj4K5BhDYARIsAD1Ly2rGLts9XA6aX1dUCY0wZ0VATTWpJ6MEbWhVdqCXzBL72ygTkqgyDTUaArphEALw_wcB</t>
  </si>
  <si>
    <t>Colostrum, Moringa, Spirulina, Hagebutte</t>
  </si>
  <si>
    <t>Maine Coon Complex</t>
  </si>
  <si>
    <t>https://reavet.de/Maine-Coon-Complex-60g?_gl=1*ftcdxk*_up*MQ..&amp;gclid=Cj0KCQjwj4K5BhDYARIsAD1Ly2rGLts9XA6aX1dUCY0wZ0VATTWpJ6MEbWhVdqCXzBL72ygTkqgyDTUaArphEALw_wcB</t>
  </si>
  <si>
    <t>Kollagen Pulver vom Seefisch, Colostrum Pulver, Karottenpulver, Hagebuttenpulver, Moringa</t>
  </si>
  <si>
    <t>Senior Complete</t>
  </si>
  <si>
    <t>https://reavet.de/Senior-Complete-50g?_gl=1*ey7qa7*_up*MQ..&amp;gclid=Cj0KCQjwj4K5BhDYARIsAD1Ly2rGLts9XA6aX1dUCY0wZ0VATTWpJ6MEbWhVdqCXzBL72ygTkqgyDTUaArphEALw_wcB</t>
  </si>
  <si>
    <t>Kollagen Pulver vom Seefisch, Colostrum Pulver, Karottenpulver, Weissdorn, Hagebuttenpulver, Löwenzahn, Eierschalenpulver</t>
  </si>
  <si>
    <t>Vitamin Komplex</t>
  </si>
  <si>
    <t>https://reavet.de/Vitamin-Komplex-50g?_gl=1*1oixmgh*_up*MQ..&amp;gclid=Cj0KCQjwj4K5BhDYARIsAD1Ly2rGLts9XA6aX1dUCY0wZ0VATTWpJ6MEbWhVdqCXzBL72ygTkqgyDTUaArphEALw_wcB</t>
  </si>
  <si>
    <t>Karottenpulver, Colostrum Pulver, Acerola Pulver, Acai Pulver, Reine Bierhefe gemahlen</t>
  </si>
  <si>
    <t>Colostrum Pulver</t>
  </si>
  <si>
    <t>https://reavet.de/Colostrum-Bioaktiv-100g?_gl=1*1ptuzt8*_up*MQ..&amp;gclid=Cj0KCQjwj4K5BhDYARIsAD1Ly2rGLts9XA6aX1dUCY0wZ0VATTWpJ6MEbWhVdqCXzBL72ygTkqgyDTUaArphEALw_wcB</t>
  </si>
  <si>
    <t>Colostrum Pulver (entfettet)</t>
  </si>
  <si>
    <t>https://reavet.de/Hagebuttenpulver-250g?_gl=1*1hb216n*_up*MQ..&amp;gclid=Cj0KCQjwj4K5BhDYARIsAD1Ly2rGLts9XA6aX1dUCY0wZ0VATTWpJ6MEbWhVdqCXzBL72ygTkqgyDTUaArphEALw_wcB</t>
  </si>
  <si>
    <t>Hagebuttenschalen gemahlen (0,22 % Vitamin C)</t>
  </si>
  <si>
    <t>Hustensaft</t>
  </si>
  <si>
    <t>https://reavet.de/Hustensaft-Tropfen-110ml?_gl=1*1ycblh1*_up*MQ..&amp;gclid=Cj0KCQjwj4K5BhDYARIsAD1Ly2rGLts9XA6aX1dUCY0wZ0VATTWpJ6MEbWhVdqCXzBL72ygTkqgyDTUaArphEALw_wcB</t>
  </si>
  <si>
    <t>Kräutermischung gekocht und filtriert (Brennnessel, Thymian, Fenchel, Fichte, Eibischwurzel, Süßholzwurzel, Spitzwegerich, Sonnenhut, Anis, Johannisbrotschrot, Isländische Flechte, Salbei, Kalmuswurzel, Lindenblüten)</t>
  </si>
  <si>
    <t>Immun Aufbau-Tropfen</t>
  </si>
  <si>
    <t>https://reavet.de/katzen/ergaenzungsfutter/immunsystem?_gl=1*1g7crrb*_up*MQ..&amp;gclid=Cj0KCQjwj4K5BhDYARIsAD1Ly2rGLts9XA6aX1dUCY0wZ0VATTWpJ6MEbWhVdqCXzBL72ygTkqgyDTUaArphEALw_wcB</t>
  </si>
  <si>
    <t>Kräutermischung gekocht und filtriert (Sonnenhut, Goldrute, Taigawurzel, Hagebutte, Süßholzwurzel, Pfefferminze)</t>
  </si>
  <si>
    <t>Propolis</t>
  </si>
  <si>
    <t>https://reavet.de/Propolis-20g?_gl=1*hmbca1*_up*MQ..&amp;gclid=Cj0KCQjwj4K5BhDYARIsAD1Ly2rGLts9XA6aX1dUCY0wZ0VATTWpJ6MEbWhVdqCXzBL72ygTkqgyDTUaArphEALw_wcB</t>
  </si>
  <si>
    <t>Bierhefe Pulver</t>
  </si>
  <si>
    <t>https://reavet.de/Bierhefe-Pulver-versch-Groessen?_gl=1*1lb4fok*_up*MQ..&amp;gclid=Cj0KCQjwj4K5BhDYARIsAD1Ly2rGLts9XA6aX1dUCY0wZ0VATTWpJ6MEbWhVdqCXzBL72ygTkqgyDTUaArphEALw_wcB</t>
  </si>
  <si>
    <t>Fell und Haut Harmonie Pulver</t>
  </si>
  <si>
    <t>https://reavet.de/Fell-Haut-Harmonie-250g?_gl=1*7zvnm8*_up*MQ..&amp;gclid=Cj0KCQjwj4K5BhDYARIsAD1Ly2rGLts9XA6aX1dUCY0wZ0VATTWpJ6MEbWhVdqCXzBL72ygTkqgyDTUaArphEALw_wcB</t>
  </si>
  <si>
    <t>Bierhefe, Omega 3 Pulver (Lachsmehl), Hagebuttenpulver</t>
  </si>
  <si>
    <t>100 % Lachspulver</t>
  </si>
  <si>
    <t>https://reavet.de/Omega-3-Lachspulver-300g?_gl=1*6pa831*_up*MQ..&amp;gclid=Cj0KCQjwj4K5BhDYARIsAD1Ly2rGLts9XA6aX1dUCY0wZ0VATTWpJ6MEbWhVdqCXzBL72ygTkqgyDTUaArphEALw_wcB</t>
  </si>
  <si>
    <t>Omega-3 Lachspulver</t>
  </si>
  <si>
    <t>https://reavet.de/Ulmenrinde-naturrein-220g</t>
  </si>
  <si>
    <t>BallastoVET</t>
  </si>
  <si>
    <t>BallastoVet</t>
  </si>
  <si>
    <t>https://reavet.de/BallastoVET-50g?_gl=1*1yhomy1*_up*MQ..&amp;gclid=Cj0KCQjwj4K5BhDYARIsAD1Ly2rGLts9XA6aX1dUCY0wZ0VATTWpJ6MEbWhVdqCXzBL72ygTkqgyDTUaArphEALw_wcB</t>
  </si>
  <si>
    <t>Naturreine Bierhefe, Gemahlene Flohsamenschalen</t>
  </si>
  <si>
    <t>Darmöl Katzen</t>
  </si>
  <si>
    <t>https://reavet.de/Darmoel-Katzen-50ml?_gl=1*1yhomy1*_up*MQ..&amp;gclid=Cj0KCQjwj4K5BhDYARIsAD1Ly2rGLts9XA6aX1dUCY0wZ0VATTWpJ6MEbWhVdqCXzBL72ygTkqgyDTUaArphEALw_wcB</t>
  </si>
  <si>
    <t>Lachsöl (Lebensmittelqualität), Mariendistelöl, Leinöl</t>
  </si>
  <si>
    <t>https://reavet.de/Magenmild-50g?_gl=1*1oj8jcd*_up*MQ..&amp;gclid=Cj0KCQjwj4K5BhDYARIsAD1Ly2rGLts9XA6aX1dUCY0wZ0VATTWpJ6MEbWhVdqCXzBL72ygTkqgyDTUaArphEALw_wcB</t>
  </si>
  <si>
    <t>100% natürliche Mineralerden</t>
  </si>
  <si>
    <t>Magenmild</t>
  </si>
  <si>
    <t>Ulmenrinde PLUS</t>
  </si>
  <si>
    <t>https://reavet.de/Ulmenrinde-Plus-50g?_gl=1*eyhxhv*_up*MQ..&amp;gclid=Cj0KCQjwj4K5BhDYARIsAD1Ly2rGLts9XA6aX1dUCY0wZ0VATTWpJ6MEbWhVdqCXzBL72ygTkqgyDTUaArphEALw_wcB</t>
  </si>
  <si>
    <t>Amerikanische Rotulmenrinde gemahlen, Flohsamenschalen</t>
  </si>
  <si>
    <t xml:space="preserve">Flohsamenschalen </t>
  </si>
  <si>
    <t>https://reavet.de/Flohsamenschalen-versch-Groessen?_gl=1*dmkkby*_up*MQ..&amp;gclid=Cj0KCQjwj4K5BhDYARIsAD1Ly2rGLts9XA6aX1dUCY0wZ0VATTWpJ6MEbWhVdqCXzBL72ygTkqgyDTUaArphEALw_wcB</t>
  </si>
  <si>
    <t>Flohsamenschalen (100% naturrein)</t>
  </si>
  <si>
    <t>Indische Flohsamen (100% naturrein)</t>
  </si>
  <si>
    <t>https://reavet.de/Indische-Flohsamen-1kg</t>
  </si>
  <si>
    <t>Magen-Darm Tropfen</t>
  </si>
  <si>
    <t>https://reavet.de/Magen-Darm-Tropfen-110ml?_gl=1*ft0tck*_up*MQ..&amp;gclid=Cj0KCQjwj4K5BhDYARIsAD1Ly2rGLts9XA6aX1dUCY0wZ0VATTWpJ6MEbWhVdqCXzBL72ygTkqgyDTUaArphEALw_wcB</t>
  </si>
  <si>
    <t>Wasser, natürliche Pflanzenextrakte (Schafgarbe, Kamille, Melisse, Salbei, Anis extrahiert und filtriert)</t>
  </si>
  <si>
    <t>Gelenk Complex</t>
  </si>
  <si>
    <t>Kollagen Pulver vom Seefisch, Hagebuttenpulver</t>
  </si>
  <si>
    <t>https://reavet.de/Gelenk-Complex-50g?_gl=1*am065j*_up*MQ..&amp;gclid=Cj0KCQjwj4K5BhDYARIsAD1Ly2rGLts9XA6aX1dUCY0wZ0VATTWpJ6MEbWhVdqCXzBL72ygTkqgyDTUaArphEALw_wcB</t>
  </si>
  <si>
    <t>https://reavet.de/Calcium-Carbonat-250g?_gl=1*1vtao7n*_up*MQ..&amp;gclid=Cj0KCQjwj4K5BhDYARIsAD1Ly2rGLts9XA6aX1dUCY0wZ0VATTWpJ6MEbWhVdqCXzBL72ygTkqgyDTUaArphEALw_wcB</t>
  </si>
  <si>
    <t>Calcium Carbonat</t>
  </si>
  <si>
    <t>92,8% Calcium Carbonat, 5,4% Magnesiumcarbonat, Mineralien</t>
  </si>
  <si>
    <t>Teufelskralle</t>
  </si>
  <si>
    <t>https://reavet.de/Teufelskralle-250g</t>
  </si>
  <si>
    <t>Teufelskrallenwurzel gemahlen</t>
  </si>
  <si>
    <t>Gelenk Liquid</t>
  </si>
  <si>
    <t>Methylsulfonylmenthan (MSM), Propylenglykol, Traubenzucker, Chondroitinsulfat, Glucosamin</t>
  </si>
  <si>
    <t>https://reavet.de/Gelenk-Liquid-110ml?_gl=1*1uqzqcu*_up*MQ..&amp;gclid=Cj0KCQjwj4K5BhDYARIsAD1Ly2rGLts9XA6aX1dUCY0wZ0VATTWpJ6MEbWhVdqCXzBL72ygTkqgyDTUaArphEALw_wcB</t>
  </si>
  <si>
    <t>https://reavet.de/Relax-Liquid-110ml?_gl=1*1x7xu8k*_up*MQ..&amp;gclid=Cj0KCQjwj4K5BhDYARIsAD1Ly2rGLts9XA6aX1dUCY0wZ0VATTWpJ6MEbWhVdqCXzBL72ygTkqgyDTUaArphEALw_wcB</t>
  </si>
  <si>
    <t>WormWood Mix Katzen</t>
  </si>
  <si>
    <t>https://reavet.de/Wormwood-Mix-Katzen-20g?_gl=1*1saa57r*_up*MQ..&amp;gclid=Cj0KCQjwj4K5BhDYARIsAD1Ly2rGLts9XA6aX1dUCY0wZ0VATTWpJ6MEbWhVdqCXzBL72ygTkqgyDTUaArphEALw_wcB</t>
  </si>
  <si>
    <t>Wasser, natürliche Pflanzenextrakte (echter Baldrian, Melisse, Hopfen extrahiert und filtriert)</t>
  </si>
  <si>
    <t>Kokosmehl, Karottenpulver, Hagebuttenschalenpulver, Fenchel gemahlen, Petersilie gemahlen, Löwenzahnkraut mit Wurzel gemahlen, Kürbiskerne gemahlen, Beifuß (Artemisia annua) gemahlen</t>
  </si>
  <si>
    <t>Wormwood Mix</t>
  </si>
  <si>
    <t>Calmin balance Pulver</t>
  </si>
  <si>
    <t>Inuvet</t>
  </si>
  <si>
    <t>Calmin Balance Pulver</t>
  </si>
  <si>
    <t>https://inuvet.com/products/calmin-balance-pulver</t>
  </si>
  <si>
    <t>Milchprotein Hydrolysat, Dextrose</t>
  </si>
  <si>
    <t>Cortisan</t>
  </si>
  <si>
    <t>https://inuvet.com/products/cortisan</t>
  </si>
  <si>
    <t>Mikroalgenöl (Omega-3 (mind.117,5mg/ml DHA + EPA, davon mind. 23,5mg/ml EPA)), Rapsöl</t>
  </si>
  <si>
    <t>Enterogast Pulver</t>
  </si>
  <si>
    <t>https://inuvet.com/products/enterogast-pulver</t>
  </si>
  <si>
    <t>Flohsamenschalen, Ratanhia-Wurzel gemahlen, Dextrose (Kohlenhydratquelle: Dextrose)</t>
  </si>
  <si>
    <t>FloraComplex</t>
  </si>
  <si>
    <t>https://inuvet.com/products/floracomplex-2</t>
  </si>
  <si>
    <t>Inulin (aus Zichorie, Topinambur, Artischocke oder Agave), Natriumchlorid</t>
  </si>
  <si>
    <t>Hepax Forte Pulver</t>
  </si>
  <si>
    <t>https://inuvet.com/products/hepax-forte-pulver</t>
  </si>
  <si>
    <t>Reishi gemahlen, Magnesiumoxid (17.000mg/kg)</t>
  </si>
  <si>
    <t>Ibedex</t>
  </si>
  <si>
    <t>https://inuvet.com/products/ibedex</t>
  </si>
  <si>
    <t>Apfelpektin, Inulin (aus Zichorie, Topinambur, Artischocke oder Agave), Flohsamenschalen</t>
  </si>
  <si>
    <t xml:space="preserve">Laxin </t>
  </si>
  <si>
    <t>https://inuvet.com/products/laxin</t>
  </si>
  <si>
    <t>Lactulose</t>
  </si>
  <si>
    <t>O-Max</t>
  </si>
  <si>
    <t>https://inuvet.com/products/o-max</t>
  </si>
  <si>
    <t>Algenöl (aus Schizochytrium sp.)</t>
  </si>
  <si>
    <t>Power</t>
  </si>
  <si>
    <t>https://inuvet.com/products/power</t>
  </si>
  <si>
    <t>Leonardit (Cellu-Ligno-Karbon-Isolat, Huminsäure-haltig), Shiitake gemahlen, Agaricus blazei Murrill gemahlen, Coriolus versicolor gemahlen</t>
  </si>
  <si>
    <t>Renax Pulver</t>
  </si>
  <si>
    <t>https://inuvet.com/products/renax-pulver</t>
  </si>
  <si>
    <t>Inulin, Cordyceps sinensis gemahlen, Reishi gemahlen, Calciumcarbonat</t>
  </si>
  <si>
    <t>Respirax</t>
  </si>
  <si>
    <t>https://inuvet.com/products/respirax-1</t>
  </si>
  <si>
    <t>Glycerin, Spitzwegerich getrocknet &amp; gemahlen, Chaga Pulver, Coriolus versicolor Pulver, Manuka Honig</t>
  </si>
  <si>
    <t>Struvex</t>
  </si>
  <si>
    <t>https://inuvet.com/products/struvex-pulver</t>
  </si>
  <si>
    <t>Polyporus umbellatus gemahlen, Apfelpektin</t>
  </si>
  <si>
    <t>Vesicat Pulver</t>
  </si>
  <si>
    <t>https://inuvet.com/products/vesicat-pulver</t>
  </si>
  <si>
    <t>Polyporus umbellatus gemahlen, Coriolus versicolor gemahlen, N-Acetyl-D-Glucosamin, Goldrutenkraut getrocknet und gemahlen, D-Mannose (9,7%)</t>
  </si>
  <si>
    <t>Vomisan Pulver</t>
  </si>
  <si>
    <t>https://inuvet.com/products/vomisan-pulver</t>
  </si>
  <si>
    <t>Flohsamenschalen, Apfelpektin</t>
  </si>
  <si>
    <t>CaniPulmin</t>
  </si>
  <si>
    <t>Canipulmin</t>
  </si>
  <si>
    <t>https://www.plantavet.de/online-shop/atemwegsorgane/bronchitis/394/canipulmin-liquid-flasche?c=188</t>
  </si>
  <si>
    <t>Apfelsaftkonzentrat, Dextrose, Milchzucker.</t>
  </si>
  <si>
    <t>Plantavet</t>
  </si>
  <si>
    <t>Spurenelementpräparat</t>
  </si>
  <si>
    <t>ArthroRegen</t>
  </si>
  <si>
    <t>https://www.plantavet.de/online-shop/bewegungsorgane/gelenkerkrankungen-akut/390/arthroregen-tabletten?c=185</t>
  </si>
  <si>
    <t>Dicalciumphosphat, Hefe, Zichorieninulin, Kartoffelstärke, Cellobiose, Grünlippmuschelpulver, Magnesiumstearat</t>
  </si>
  <si>
    <t>ArthroRegen Novo</t>
  </si>
  <si>
    <t>https://www.plantavet.de/online-shop/bewegungsorgane/gelenkerkrankungen-akut/569/arthroregen-novo-tabletten?c=185</t>
  </si>
  <si>
    <t>17 % Eierschalenmembran, Glukose, Karotten (gemahlen), Hefe, Kartoffelstärke, Zichorieninulin, Glycerin, Magnesiumstearat, Grünlippmuschelpulver</t>
  </si>
  <si>
    <t>PetDolor</t>
  </si>
  <si>
    <t>https://www.plantavet.de/online-shop/bewegungsorgane/gelenkerkrankungen-akut/446/petdolor-flasche?c=185</t>
  </si>
  <si>
    <t>Apfelsaftkonzentrat, Hanfextrakt 10%, Glycerin, Hagebuttenpulver.</t>
  </si>
  <si>
    <t>PlantaHepar</t>
  </si>
  <si>
    <t>https://www.plantavet.de/plantahepar---200-mg-tabletten-fuer-katzen?c=184</t>
  </si>
  <si>
    <t>Hefe, Kartoffelstärke, Schafgarbenblüten, Dicalciumphosphat, 2 % Artischockenpresssaft (getrocknet), Magnesiumstearat</t>
  </si>
  <si>
    <t>DiaRegen</t>
  </si>
  <si>
    <t>PlantaVet</t>
  </si>
  <si>
    <t>https://www.plantavet.de/online-shop/magendarm/durchfall-meteorismus/601/diaregen?c=186</t>
  </si>
  <si>
    <t>34 % Traubenzucker (Kohlenhydratquelle), Hefen, Molkenpulver, Eiprodukte (getrocknet), Natriumchlorid, Natriumbicarbonat, Kaliumchlorid, Pektin, Fructo-Oligosaccharide, Rapsöl (gehärtet), Natriumbutyrat, Hefenerzeugnisse</t>
  </si>
  <si>
    <t>EnteroRegen</t>
  </si>
  <si>
    <t>https://www.plantavet.de/online-shop/magendarm/durchfall-meteorismus/410/enteroregen-dose-tabletten?c=186</t>
  </si>
  <si>
    <t>Dicalciumphosphat, Dextrose, 6 % Zichorieninulin, Kartoffelstärke, 3 % Rhizom der Blutwurzel, Magnesiumstearat.</t>
  </si>
  <si>
    <t>Lilys Bar</t>
  </si>
  <si>
    <t>https://www.lillysbar.de/epages/61181519.sf/de_AT/?ObjectPath=/Shops/61181519/Products/67</t>
  </si>
  <si>
    <t>https://www.lillysbar.de/epages/61181519.sf/de_AT/?ObjectPath=/Shops/61181519/Products/1113</t>
  </si>
  <si>
    <t> 100% Eierschalenmehl, extrafein</t>
  </si>
  <si>
    <t>https://www.lillysbar.de/epages/61181519.sf/de_AT/?ObjectPath=/Shops/61181519/Products/209</t>
  </si>
  <si>
    <t>https://fortan.de/Calcium-40-in-Lebensmittelqualitaet/553</t>
  </si>
  <si>
    <t>Fleischknochenmehl vom Rind</t>
  </si>
  <si>
    <t>https://www.lillysbar.de/epages/61181519.sf/de_AT/?ObjectPath=/Shops/61181519/Products/75236</t>
  </si>
  <si>
    <t>gemahlene Rinderknochen</t>
  </si>
  <si>
    <t>Fleischknochenmehl vom Pferd</t>
  </si>
  <si>
    <t>https://www.lillysbar.de/epages/61181519.sf/de_AT/?ObjectPath=/Shops/61181519/Products/75237</t>
  </si>
  <si>
    <t>gemahlene Pferdeknochen</t>
  </si>
  <si>
    <t>Fleischknochenmehl Geflügel</t>
  </si>
  <si>
    <t>https://www.lillysbar.de/epages/61181519.sf/de_AT/?ObjectPath=/Shops/61181519/Products/183680</t>
  </si>
  <si>
    <t>45% Huhn, 5% Hähnchen, 5% Ente, 45% Truthahn</t>
  </si>
  <si>
    <t>Fleischknochenmehl Kaninchen</t>
  </si>
  <si>
    <t>https://www.lillysbar.de/epages/61181519.sf/de_AT/?ObjectPath=/Shops/61181519/Products/20484</t>
  </si>
  <si>
    <t>gemahlene Kaninchenknochen</t>
  </si>
  <si>
    <t>Knochenmehl Ente</t>
  </si>
  <si>
    <t>Knochenmehl Lamm</t>
  </si>
  <si>
    <t>https://www.lillysbar.de/epages/61181519.sf/de_AT/?ObjectPath=/Shops/61181519/Products/20456</t>
  </si>
  <si>
    <t>gemahlene Entenknochen</t>
  </si>
  <si>
    <t>https://www.lillysbar.de/epages/61181519.sf/de_AT/?ObjectPath=/Shops/61181519/Products/18362</t>
  </si>
  <si>
    <t>gemahlene Lammknochen</t>
  </si>
  <si>
    <t>Knochenmehl Hirsch</t>
  </si>
  <si>
    <t>https://www.lillysbar.de/epages/61181519.sf/de_AT/?ObjectPath=/Shops/61181519/Products/18364</t>
  </si>
  <si>
    <t>gemahlene Hirschknochen</t>
  </si>
  <si>
    <t>Hirschhornmehl</t>
  </si>
  <si>
    <t>100% Hirschgeweih, fein gemahlen</t>
  </si>
  <si>
    <t>https://www.lillysbar.de/epages/61181519.sf/de_AT/?ObjectPath=/Shops/61181519/Products/11996</t>
  </si>
  <si>
    <t>https://www.lillysbar.de/epages/61181519.sf/de_AT/?ObjectPath=/Shops/61181519/Products/104</t>
  </si>
  <si>
    <t>https://www.lillysbar.de/epages/61181519.sf/de_AT/?ObjectPath=/Shops/61181519/Products/66</t>
  </si>
  <si>
    <t>100% reine Bierhefe</t>
  </si>
  <si>
    <t>ArthroRegenNovo</t>
  </si>
  <si>
    <t>Lilly's Pfotenmix-Bar</t>
  </si>
  <si>
    <t>https://www.lillysbar.de/epages/61181519.sf/de_AT/?ObjectPath=/Shops/61181519/Products/64</t>
  </si>
  <si>
    <t>Spirulina, Bierhefe und Seealgenmehl</t>
  </si>
  <si>
    <t>Vitamin E Pulver mit Taurin</t>
  </si>
  <si>
    <t>https://www.lillysbar.de/epages/61181519.sf/de_AT/?ObjectPath=/Shops/61181519/Products/295</t>
  </si>
  <si>
    <t>Bierhefe, Granatapfelkernmehl</t>
  </si>
  <si>
    <t>Lebermehl</t>
  </si>
  <si>
    <t>Lillys Bar</t>
  </si>
  <si>
    <t>https://www.lillysbar.de/epages/61181519.sf/de_AT/?ObjectPath=/Shops/61181519/Products/53</t>
  </si>
  <si>
    <t>Lebermehl vom Rind</t>
  </si>
  <si>
    <t>https://www.lillysbar.de/epages/61181519.sf/de_AT/?ObjectPath=/Shops/61181519/Products/18</t>
  </si>
  <si>
    <t>L-Lysin</t>
  </si>
  <si>
    <t>L-Lysin HCL 99 %</t>
  </si>
  <si>
    <t>https://www.lillysbar.de/epages/61181519.sf/de_AT/?ObjectPath=/Shops/61181519/Products/248</t>
  </si>
  <si>
    <t>L-Carnitin min. 50,0%, Siliziumdioxid, Wasser</t>
  </si>
  <si>
    <t>https://www.lillysbar.de/epages/61181519.sf/de_AT/?ObjectPath=/Shops/61181519/Products/249</t>
  </si>
  <si>
    <t>Krillöl</t>
  </si>
  <si>
    <t>https://www.lillysbar.de/epages/61181519.sf/de_AT/?ObjectPath=/Shops/61181519/Products/18288</t>
  </si>
  <si>
    <t>Antarktisches Krillöl</t>
  </si>
  <si>
    <t>https://www.lillysbar.de/epages/61181519.sf/de_AT/?ObjectPath=/Shops/61181519/Products/14</t>
  </si>
  <si>
    <t>100% aus dem Öl des Nachtkerzensamens</t>
  </si>
  <si>
    <t>https://www.lillysbar.de/epages/61181519.sf/de_AT/?ObjectPath=/Shops/61181519/Products/12</t>
  </si>
  <si>
    <t>Hanföl 1. Kaltpressung</t>
  </si>
  <si>
    <t>https://www.lillysbar.de/epages/61181519.sf/de_AT/?ObjectPath=/Shops/61181519/Products/143</t>
  </si>
  <si>
    <t>Leinöl 1. Kaltpressung</t>
  </si>
  <si>
    <t>https://www.lillysbar.de/epages/61181519.sf/de_AT/?ObjectPath=/Shops/61181519/Products/11961</t>
  </si>
  <si>
    <t>https://www.lillysbar.de/epages/61181519.sf/de_AT/?ObjectPath=/Shops/61181519/Products/15</t>
  </si>
  <si>
    <t>Medizinaldorschlebertran</t>
  </si>
  <si>
    <t>https://www.lillysbar.de/epages/61181519.sf/de_AT/?ObjectPath=/Shops/61181519/Products/11965</t>
  </si>
  <si>
    <t>Mariendistelöl</t>
  </si>
  <si>
    <t>https://www.lillysbar.de/epages/61181519.sf/de_AT/?ObjectPath=/Shops/61181519/Products/12032</t>
  </si>
  <si>
    <t>Himalayasalz</t>
  </si>
  <si>
    <t>Natriumchlorid</t>
  </si>
  <si>
    <t>https://www.lillysbar.de/epages/61181519.sf/de_AT/?ObjectPath=/Shops/61181519/Products/16</t>
  </si>
  <si>
    <t>Meersalz</t>
  </si>
  <si>
    <t>https://www.lillysbar.de/epages/61181519.sf/de_AT/?ObjectPath=/Shops/61181519/Products/17</t>
  </si>
  <si>
    <t>ca. 86% Natriumchlorid, ca. 7,7% Sulfat, ca. 3,7% Magnesium, ca. 1,2% Calcium und ca. 1,1% Kalium.</t>
  </si>
  <si>
    <t>Hagebuttenschalenpulver</t>
  </si>
  <si>
    <t>https://www.lillysbar.de/epages/61181519.sf/de_AT/?ObjectPath=/Shops/61181519/Products/187</t>
  </si>
  <si>
    <t>Rosae pseudofructus, gemahlen</t>
  </si>
  <si>
    <t>Hydrolisierte Gelatine</t>
  </si>
  <si>
    <t>https://www.lillysbar.de/epages/61181519.sf/de_AT/?ObjectPath=/Shops/61181519/Products/239</t>
  </si>
  <si>
    <t>Gelatine</t>
  </si>
  <si>
    <t>https://www.lillysbar.de/epages/61181519.sf/de_AT/?ObjectPath=/Shops/61181519/Products/199</t>
  </si>
  <si>
    <t>Teufelskralle gemahlen</t>
  </si>
  <si>
    <t>https://www.lillysbar.de/epages/61181519.sf/de_AT/?ObjectPath=/Shops/61181519/Products/227</t>
  </si>
  <si>
    <t>100 % Harpagophytum procumbens, gemahlen</t>
  </si>
  <si>
    <t>Pferdefett</t>
  </si>
  <si>
    <t>https://www.lillysbar.de/epages/61181519.sf/de_AT/?ObjectPath=/Shops/61181519/Products/167</t>
  </si>
  <si>
    <t>100% ausgelassenes Pferdefett</t>
  </si>
  <si>
    <t>Indische Flohsamenschalen</t>
  </si>
  <si>
    <t>https://www.lillysbar.de/epages/61181519.sf/de_AT/?ObjectPath=/Shops/61181519/Products/03</t>
  </si>
  <si>
    <t>100% Flohsamenschalen</t>
  </si>
  <si>
    <t>Gummi Arabicum</t>
  </si>
  <si>
    <t>https://www.lillysbar.de/epages/61181519.sf/de_AT/?ObjectPath=/Shops/61181519/Products/419</t>
  </si>
  <si>
    <t>Zistrose gemahlen</t>
  </si>
  <si>
    <t>https://www.lillysbar.de/epages/61181519.sf/de_AT/?ObjectPath=/Shops/61181519/Products/12039</t>
  </si>
  <si>
    <t>100% Zistrose fein gemahlen</t>
  </si>
  <si>
    <t>Zeolith Klinoptilolith Pulver</t>
  </si>
  <si>
    <t>https://www.lillysbar.de/epages/61181519.sf/de_AT/?ObjectPath=/Shops/61181519/Products/120491</t>
  </si>
  <si>
    <t>https://www.lillysbar.de/epages/61181519.sf/de_AT/?ObjectPath=/Shops/61181519/Products/22</t>
  </si>
  <si>
    <t>100 % Seealgenmehl; Ascophyllum nodosum</t>
  </si>
  <si>
    <t>https://www.lillysbar.de/epages/61181519.sf/de_AT/?ObjectPath=/Shops/61181519/Products/23</t>
  </si>
  <si>
    <t>100% Perna Canaliculus, getrocknet und gemahlen</t>
  </si>
  <si>
    <t>https://www.lillysbar.de/epages/61181519.sf/de_AT/?ObjectPath=/Shops/61181519/Products/20/SubProducts/20-0003</t>
  </si>
  <si>
    <t>100 % Spirulina platensis</t>
  </si>
  <si>
    <t>Apfelfaser</t>
  </si>
  <si>
    <t>https://www.lillysbar.de/epages/61181519.sf/de_AT/?ObjectPath=/Shops/61181519/Products/82</t>
  </si>
  <si>
    <t>Apfeltrester</t>
  </si>
  <si>
    <t>Erbsengranulat</t>
  </si>
  <si>
    <t>https://www.lillysbar.de/epages/61181519.sf/de_AT/?ObjectPath=/Shops/61181519/Products/99</t>
  </si>
  <si>
    <t>100 % Erbsen</t>
  </si>
  <si>
    <t>Erbsenpulver</t>
  </si>
  <si>
    <t>https://www.lillysbar.de/epages/61181519.sf/de_AT/?ObjectPath=/Shops/61181519/Products/522</t>
  </si>
  <si>
    <t>Karottengranulat</t>
  </si>
  <si>
    <t>Karottenpulver</t>
  </si>
  <si>
    <t>https://www.lillysbar.de/epages/61181519.sf/de_AT/?ObjectPath=/Shops/61181519/Products/192</t>
  </si>
  <si>
    <t>100% Karotten</t>
  </si>
  <si>
    <t>https://www.lillysbar.de/epages/61181519.sf/de_AT/?ObjectPath=/Shops/61181519/Products/154</t>
  </si>
  <si>
    <t>Kartoffelfaser</t>
  </si>
  <si>
    <t>Kartoffelflocken</t>
  </si>
  <si>
    <t>Kürbispulver</t>
  </si>
  <si>
    <t>https://www.lillysbar.de/epages/61181519.sf/de_AT/?ObjectPath=/Shops/61181519/Products/242</t>
  </si>
  <si>
    <t>100 % Kartoffeln</t>
  </si>
  <si>
    <t>100 % Kartoffelflocken</t>
  </si>
  <si>
    <t>https://www.lillysbar.de/epages/61181519.sf/de_AT/?ObjectPath=/Shops/61181519/Products/136</t>
  </si>
  <si>
    <t>Gefriergetrocknetes Kürbispulver (Hokkaido)</t>
  </si>
  <si>
    <t>https://www.lillysbar.de/epages/61181519.sf/de_AT/?ObjectPath=/Shops/61181519/Products/547</t>
  </si>
  <si>
    <t>Kokosmehl</t>
  </si>
  <si>
    <t>https://www.lillysbar.de/epages/61181519.sf/de_AT/?ObjectPath=/Shops/61181519/Products/42340</t>
  </si>
  <si>
    <t>100 % Kokosmehl</t>
  </si>
  <si>
    <t>Pastinakenpulver</t>
  </si>
  <si>
    <t>Rote Beete Pulver</t>
  </si>
  <si>
    <t>Spinatflocken</t>
  </si>
  <si>
    <t>Spinatpulver</t>
  </si>
  <si>
    <t>Gefriergetrocknetes Pastinakenpulver</t>
  </si>
  <si>
    <t>https://www.lillysbar.de/epages/61181519.sf/de_AT/?ObjectPath=/Shops/61181519/Products/56</t>
  </si>
  <si>
    <t>Gefriergetrocknetes Rote Bete Pulver</t>
  </si>
  <si>
    <t>https://www.lillysbar.de/epages/61181519.sf/de_AT/?ObjectPath=/Shops/61181519/Products/57</t>
  </si>
  <si>
    <t>100% Spinat</t>
  </si>
  <si>
    <t>https://www.lillysbar.de/epages/61181519.sf/de_AT/?ObjectPath=/Shops/61181519/Products/601</t>
  </si>
  <si>
    <t>https://www.lillysbar.de/epages/61181519.sf/de_AT/?ObjectPath=/Shops/61181519/Products/55</t>
  </si>
  <si>
    <t>Schnittbohnenpulver</t>
  </si>
  <si>
    <t>Tomatenpulver</t>
  </si>
  <si>
    <t>Zucchinipulver</t>
  </si>
  <si>
    <t>https://www.lillysbar.de/epages/61181519.sf/de_AT/?ObjectPath=/Shops/61181519/Products/524</t>
  </si>
  <si>
    <t>https://www.lillysbar.de/epages/61181519.sf/de_AT/?ObjectPath=/Shops/61181519/Products/101</t>
  </si>
  <si>
    <t>https://www.lillysbar.de/epages/61181519.sf/de_AT/?ObjectPath=/Shops/61181519/Products/241</t>
  </si>
  <si>
    <t>100 % Zellulose</t>
  </si>
  <si>
    <t>https://www.lillysbar.de/epages/61181519.sf/de_AT/?ObjectPath=/Shops/61181519/Products/546</t>
  </si>
  <si>
    <t>Uniterra</t>
  </si>
  <si>
    <t>https://www.narayana-verlag.at/MSM-fuer-Hunde-Katzen-und-Pferde-MSM-Pulver-fuer-Tiere-99-9-reines-Methylsulfonylmethan-Ergaenzungsfuttermittel-1-kg-von-Uniterra/b31523</t>
  </si>
  <si>
    <t>Methylsulfonylmethan-Pulver</t>
  </si>
  <si>
    <t>https://www.narayana-verlag.at/Lachsoel-fuer-Hunde-und-Katzen-500-ml-kaltgepresst-von-Uniterra/b30800</t>
  </si>
  <si>
    <t>https://www.narayana-verlag.at/Gruenlippmuschel-Pulver-fuer-Tiere-Hunde-Katzen-Pferde-Perna-canaliculus-naturrein-250-g-Einzelfuttermittel-von-Uniterra/b30808</t>
  </si>
  <si>
    <t>Reines neuseeländisches Grünlippmuschel-Konzentrat (Perna canaliculus)</t>
  </si>
  <si>
    <t>Arthridonum K</t>
  </si>
  <si>
    <t>Arthridonum K für Hunde und Katzen</t>
  </si>
  <si>
    <t>HeilKraft</t>
  </si>
  <si>
    <t>https://www.narayana-verlag.at/Arthridonum-K-fuer-Hunde-und-Katzen-Heilkraft-Lebenskraft-Manufaktur-300-g/b30652</t>
  </si>
  <si>
    <t>Karottenpulver, Kokosnussmehl, Glucosamin, Chondroitinsulfat, Methyl-Sulfonyl-Methan (MSM)</t>
  </si>
  <si>
    <t>Kamala-Fruchthaarpulver</t>
  </si>
  <si>
    <t>https://www.narayana-verlag.at/Kamala-Fruchthaarpulver-Heilkraft-Lebenskraft-Manufaktur-15-g/b32901</t>
  </si>
  <si>
    <t>100 % Kamala-Fruchthaarpulver</t>
  </si>
  <si>
    <t>Arthridonum H</t>
  </si>
  <si>
    <t>Arhtridonum H für Hunde und Katzen</t>
  </si>
  <si>
    <t>https://www.narayana-verlag.at/Arthridonum-H-fuer-Hunde-und-Katzen-Heilkraft-Lebenskraft-Manufaktur-300-g/b26693</t>
  </si>
  <si>
    <t>Magermilchpulver, Glucosamin, Chondroitinsulfat, Methyl-Sulfonyl-Methan</t>
  </si>
  <si>
    <t>Kollagen Pulver für Hunde und Katzen</t>
  </si>
  <si>
    <t>reines Kollagen-Hydrolysat</t>
  </si>
  <si>
    <t>https://www.narayana-verlag.at/Kollagen-Pulver-fuer-Hunde-und-Katzen-Kollagen-Hydrolysat-vom-Rind-Einzelfuttermittel-600-g-von-Uniterra/b31577</t>
  </si>
  <si>
    <t>Phytomoor</t>
  </si>
  <si>
    <t>https://www.narayana-verlag.at/Phytomoor-mit-Huminsaeuren-fuer-Hunde-und-Katzen-Heilkraft-Lebenskraft-Manufaktur-500-ml/b26700</t>
  </si>
  <si>
    <t>Wasser, Moor, enthält von Natur aus Huminsäuren, Eisen, Calcium, Magnesium, Kalium, Zink, Natrium, Kupfer, Molybdän, Chrom</t>
  </si>
  <si>
    <t>Kraftstoff Phytomineral-Komplex</t>
  </si>
  <si>
    <t>https://www.narayana-verlag.at/Kraftstoff-Phytomineral-Komplex-Heilkraft-Lebenskraft-Manufaktur-200-g/b32898</t>
  </si>
  <si>
    <t>Moorpulver, Gerstengraspulver, Spirulina, Hanfpulver, Seealgenpulver, Traubenkernpulver, Hagebuttenpulver</t>
  </si>
  <si>
    <t>BioFlexa Vegan</t>
  </si>
  <si>
    <t>Vetra</t>
  </si>
  <si>
    <t>https://www.narayana-verlag.at/BioFlexa-Vegan-60-Kapseln-Vetra/b31821</t>
  </si>
  <si>
    <t>Methylsulfonylmethan, Glucosamin HCL, Chondroitinsulfat, Hydroxypropylmethylcellulose (vegetarische Kapsel), Vitamin C, Natürliche Mineralien und Spurenelemente.</t>
  </si>
  <si>
    <t>Vetrazyme</t>
  </si>
  <si>
    <t>https://www.narayana-verlag.at/Vetrazyme-60-Kapseln-Vetra/b31823</t>
  </si>
  <si>
    <t>Füllstoff (Reiskonzentrat), Verdauungsenzyme, Hydroxypropylmethylcellulose (pflanzliche Kapsel).</t>
  </si>
  <si>
    <t>GeriaGard</t>
  </si>
  <si>
    <t>Füllstoff (Sonnenblümenöl), Algemehl (Haematococcus pluvialis), pflanzliche Kapsel (Hydromelose), Vitamine </t>
  </si>
  <si>
    <t>https://www.narayana-verlag.at/GeriaGard-60-Softgelkapseln-Vetra/b31822</t>
  </si>
  <si>
    <t>Omegard 500 mg</t>
  </si>
  <si>
    <t>https://www.narayana-verlag.at/Omegard-500-mg-60-Kapseln-Vetra/b31824</t>
  </si>
  <si>
    <t>Krill-Öl (Euphausia superba), Gelatine (Rind), Glycerin, Wasser</t>
  </si>
  <si>
    <t>Kaminox</t>
  </si>
  <si>
    <t>https://www.medpets.at/vetplus-kaminox</t>
  </si>
  <si>
    <t>Vetplus</t>
  </si>
  <si>
    <t>Spirulina, Kaliumgluconat, L-Glutamin, Glukose-Fruktose-Sirup.</t>
  </si>
  <si>
    <t>Prodoca</t>
  </si>
  <si>
    <t>https://www.prodoca.de/Hund-Katze/hund-katze-6/bierhefe/bierhefe-natur-200g.html</t>
  </si>
  <si>
    <t>Bierhefe, 100%, getrocknet und gemahlen</t>
  </si>
  <si>
    <t>KWYIN Tabletten</t>
  </si>
  <si>
    <t>KWYIN 50 Tabletten HK</t>
  </si>
  <si>
    <t>Weich- und Krebstiere (50%), Mineralstoff e, Öle und Fette (pfl anzlich)</t>
  </si>
  <si>
    <t>https://www.prodoca.de/Hund-Katze/hund-katze-6/gruenlippmuschel/gruenlippmuschel-tabl-90tabl-139.html</t>
  </si>
  <si>
    <t>Seealgen</t>
  </si>
  <si>
    <t>https://www.prodoca.de/Hund-Katze/hund-katze-6/seealgen/seealgen-250g.html</t>
  </si>
  <si>
    <t>Seealgen, getrocknet und gemahlen, 100%</t>
  </si>
  <si>
    <t>BarferMin PLUS</t>
  </si>
  <si>
    <t>BarferMin Plus</t>
  </si>
  <si>
    <t>https://www.prodoca.de/Hund-Katze/hund-katze-6/barf-mineralfutter/barfer-plus-500g.html</t>
  </si>
  <si>
    <t>Vitamin B Präparat</t>
  </si>
  <si>
    <t>Vitamin B Präparat HK</t>
  </si>
  <si>
    <t>https://www.prodoca.de/Hund-Katze/hund-katze-6/vitaminzusaetze/vitamin-b-praeparat-200g.html</t>
  </si>
  <si>
    <t>Traubenzucker, Süssmolkenpulver, Dicalciumphosphat (anorganisch)</t>
  </si>
  <si>
    <t>Mineralfutter complete</t>
  </si>
  <si>
    <t>https://www.prodoca.de/Hund-Katze/hund-katze-6/barf-mineralfutter/mineralfutter-complete-350g.html</t>
  </si>
  <si>
    <t>Calciumcarbonat, Monocalciumphosphat (anorganisch), Natriumchlorid, Calcium-Natriumphosphat, Magnesiumoxid</t>
  </si>
  <si>
    <t>Calcium-monohydrogenphosphat, CaHPO4 x2H2 O</t>
  </si>
  <si>
    <t>https://www.prodoca.de/Hund-Katze/hund-katze-6/calcium/dicalciumphosphat-350g.html</t>
  </si>
  <si>
    <t>Biotin forte</t>
  </si>
  <si>
    <t>https://www.prodoca.de/Hund-Katze/hund-katze-6/biotin/biotin-forte-p-200g.html</t>
  </si>
  <si>
    <t>Kartoff elstärke, Dextrose, Roggenmehl, Natriumchlorid</t>
  </si>
  <si>
    <t>Vitamin E Präparat</t>
  </si>
  <si>
    <t>https://www.prodoca.de/Hund-Katze/hund-katze-6/barf-mineralfutter/vitamin-e-praeparat-250g.html</t>
  </si>
  <si>
    <t>Dicalciumphosphat (anorganisch), Süssmolkenpulver</t>
  </si>
  <si>
    <t>MultiFLOG</t>
  </si>
  <si>
    <t>MultiFLOG HK</t>
  </si>
  <si>
    <t>https://www.prodoca.de/Hund-Katze/hund-katze-6/vitaminzusaetze/multivitamine-fluessig-250ml.html</t>
  </si>
  <si>
    <t>Saccharose, Glycerin, Natriumchlorid</t>
  </si>
  <si>
    <t>Calciumcarbonat 100%</t>
  </si>
  <si>
    <t>https://www.prodoca.de/Hund-Katze/hund-katze-6/calcium/calciumcarbonat-350g.html</t>
  </si>
  <si>
    <t>https://www.prodoca.de/Hund-Katze/hund-katze-6/vitaminzusaetze/welpenmilch-150g.html</t>
  </si>
  <si>
    <t>Magermilchpulver, Molkepulver, Pflanzenfett raff., Weizenkleber hydrolysiert, Traubenzucker, Molkepulver teilentzuckert</t>
  </si>
  <si>
    <t>Welpenkalk</t>
  </si>
  <si>
    <t>https://www.prodoca.de/Hund-Katze/hund-katze-6/calcium/welpenkalk-350g.html</t>
  </si>
  <si>
    <t>Calciumcarbonatpulver, Calciumcarbonat gekörnt, Dicalciumphosphat, Kartoffelstärke, Liebstöckl gemahlen</t>
  </si>
  <si>
    <t>Guardacid Tabletten</t>
  </si>
  <si>
    <t>https://www.prodoca.de/Guardacid/guardacid-38/Guardacid-Tabletten/Struvit--Harnsteine--Methionin--Veterinaer.html</t>
  </si>
  <si>
    <t>Molkenpulver, DL-Methionin(30,8%), Traubenzucker, Fettsäuren (pfl anzlich), Magnesiumstearat, Grünlippmuschelpulver</t>
  </si>
  <si>
    <t>Formel Z</t>
  </si>
  <si>
    <t>https://formel-z.info/katze/</t>
  </si>
  <si>
    <t>Hefe (72%), Molkenpulver, Mono- und Diglyceride von Fettsäuren, Reisfuttermehl, mikrokistalline Cellulose</t>
  </si>
  <si>
    <t>Immun Tonicum</t>
  </si>
  <si>
    <t>RECOACTIV</t>
  </si>
  <si>
    <t>https://www.recoactiv.de/products/recoactiv-immun-tonicum-katze?_gl=1*1w2pjas*_up*MQ..&amp;gclid=Cj0KCQjw7Py4BhCbARIsAMMx-_K9ZLLmM4MstjEepyfWWtfjUsyIHbcjy1mHTh0X0EONRQb2XFYh5joaAsP6EALw_wcB</t>
  </si>
  <si>
    <t>Trinkwasser, pflanzliche Nebenerzeugnisse, Fleisch und tierische Nebenerzeugnisse (Geflügelfleisch 2,0 %, Rindfleisch 1,8% und Geflügelleber 0,8%), Öle, Fette, Mineralstoffe, Hefen</t>
  </si>
  <si>
    <t>https://www.recoactiv.de/products/recoactiv-nieren-tonicum?_gl=1*6ixbwt*_up*MQ..&amp;gclid=Cj0KCQjw7Py4BhCbARIsAMMx-_K9ZLLmM4MstjEepyfWWtfjUsyIHbcjy1mHTh0X0EONRQb2XFYh5joaAsP6EALw_wcB</t>
  </si>
  <si>
    <t>Trinkwasser, pflanzliche Nebenerzeugnisse, Fleisch und tierische Nebenerzeugnisse (Geflügelfleisch 2%, Rindfleisch 1,8% und Geflügelleber 0,8%), Öle, Fette, Mineralstoffe, Hefen</t>
  </si>
  <si>
    <t>Renaltan Tonicum</t>
  </si>
  <si>
    <t>https://www.recoactiv.de/products/recoactiv-renaltan-tonicum?_gl=1*dcuznt*_up*MQ..&amp;gclid=Cj0KCQjw7Py4BhCbARIsAMMx-_K9ZLLmM4MstjEepyfWWtfjUsyIHbcjy1mHTh0X0EONRQb2XFYh5joaAsP6EALw_wcB</t>
  </si>
  <si>
    <t>Herz Tonicum</t>
  </si>
  <si>
    <t>https://www.recoactiv.de/products/recoactiv-herz-tonicum-katze?_gl=1*atm3ls*_up*MQ..&amp;gclid=Cj0KCQjw7Py4BhCbARIsAMMx-_K9ZLLmM4MstjEepyfWWtfjUsyIHbcjy1mHTh0X0EONRQb2XFYh5joaAsP6EALw_wcB</t>
  </si>
  <si>
    <t>Trinkwasser, pflanzliche Nebenerzeugnisse (Weißdorn 1%), Fleisch- und tierische Nebenerzeugnisse (Geflügelfleisch 2 %, Rindfleisch 1,8 % und Geflügelleber 0,8 %), Öle, Fette, Mineralstoffe, Hefen</t>
  </si>
  <si>
    <t>Allround</t>
  </si>
  <si>
    <t>Pahema</t>
  </si>
  <si>
    <t>https://www.pahema.com/basics/vitamine/allround.html</t>
  </si>
  <si>
    <t>Cellulose, Natriumchlorid, Magnesiumoxid</t>
  </si>
  <si>
    <t>https://www.pahema.com/basics/vitamine/bierhefe.html</t>
  </si>
  <si>
    <t>100 % reine Bierhefe getrocknet &amp; pulverisiert</t>
  </si>
  <si>
    <t>Bio Balance Öl</t>
  </si>
  <si>
    <t>https://www.pahema.com/basics/vitamine/bio-balance-oel.html</t>
  </si>
  <si>
    <t>Bio-Hanfsamenöl, Bio-Leinsamenöl, Bio-Walnussöl, Bio-Kürbiskernöl</t>
  </si>
  <si>
    <t>Bio Hagebutten</t>
  </si>
  <si>
    <t>https://www.pahema.com/basics/vitamine/bio-hagebutten.html</t>
  </si>
  <si>
    <t>100 % BIO Hagebuttenschalen &amp; Kerne</t>
  </si>
  <si>
    <t>Biotin Plus</t>
  </si>
  <si>
    <t>https://www.pahema.com/basics/vitamine/biotin-plus.html</t>
  </si>
  <si>
    <t>Haferkleie, Schachtelhalmkraut, Petersilienblätter, Biotin</t>
  </si>
  <si>
    <t>Daily Herbs</t>
  </si>
  <si>
    <t>https://www.pahema.com/basics/vitamine/daily-herbs.html</t>
  </si>
  <si>
    <t>Brennesselkraut, Alfalfa, Löwenzahnwurzel &amp; -kraut, Stiefmütterchenkraut, Ackerschachtelhalm, Schafgarbe, Aroniabeere, Fenchel, Labkraut</t>
  </si>
  <si>
    <t>Daily Herbs Plus</t>
  </si>
  <si>
    <t>https://www.pahema.com/basics/vitamine/daily-herbs-plus.html</t>
  </si>
  <si>
    <t>Brennnesselkraut, Alfalfa, Löwenzahnwurzel &amp; -kraut, Stiefmütterchenkraut, Ackerschachtelhalm, Schafgarbe, Aroniabeere, Seealge (Ascophyllum Nodosum), Fenchel, Labkraut</t>
  </si>
  <si>
    <t>Less Meat</t>
  </si>
  <si>
    <t>https://www.pahema.com/basics/vitamine/less-meat.html</t>
  </si>
  <si>
    <t>Cellulose, Dicalciumphosphat, Natriumchlorid, Magnesiumoxid</t>
  </si>
  <si>
    <t>Omega 3-6-9 Öl</t>
  </si>
  <si>
    <t>https://www.pahema.com/basics/vitamine/omega-3-6-9-oel.html</t>
  </si>
  <si>
    <t>Omega 3 Fischöl (zertifizierter Wildfang), kaltgepresstes BIO-Borretschöl</t>
  </si>
  <si>
    <t>Vitamin B Komplex Natur</t>
  </si>
  <si>
    <t>https://www.pahema.com/basics/vitamine/vitamin-b-komplex-natur.html</t>
  </si>
  <si>
    <t>Buchweizenkeimpulver, Bio Hagebutte (gemahlen)</t>
  </si>
  <si>
    <t>Vitamin B12 + Folsäure</t>
  </si>
  <si>
    <t>Vitamin B12+Folsäure</t>
  </si>
  <si>
    <t>https://www.pahema.com/basics/vitamine/vitamin-b12.html</t>
  </si>
  <si>
    <t>https://www.pahema.com/basics/kalzium-mineralstoffe/algenkalk.html</t>
  </si>
  <si>
    <t>100 % reiner Algenkalk (Lithothamnium calcareum)</t>
  </si>
  <si>
    <t>https://www.pahema.com/basics/kalzium-mineralstoffe/bio-eierschalenpulver.html</t>
  </si>
  <si>
    <t>100 % BIO-Eierschalenpulver</t>
  </si>
  <si>
    <t>https://www.pahema.com/basics/kalzium-mineralstoffe/dicalciumphosphat.html</t>
  </si>
  <si>
    <t>100 % Dicalciumphosphat</t>
  </si>
  <si>
    <t>Geflügelblutpulver</t>
  </si>
  <si>
    <t>https://www.pahema.com/basics/kalzium-mineralstoffe/gefluegelblutpulver.html</t>
  </si>
  <si>
    <t>100 % Vollblut vom Geflügel (Huhn, Pute), getrocknet</t>
  </si>
  <si>
    <t>https://www.pahema.com/basics/kalzium-mineralstoffe/hirschknochenmehl.html</t>
  </si>
  <si>
    <t>100 % gemahlene Fleischknochen vom Hirsch</t>
  </si>
  <si>
    <t>https://www.pahema.com/basics/kalzium-mineralstoffe/lammknochenmehl.html</t>
  </si>
  <si>
    <t>100 % gemahlene Fleischknochen vom Lamm</t>
  </si>
  <si>
    <t>Knochenmehl Rind</t>
  </si>
  <si>
    <t>Knochenmehl Pferd</t>
  </si>
  <si>
    <t>https://www.pahema.com/basics/kalzium-mineralstoffe/pferdeknochenmehl.html</t>
  </si>
  <si>
    <t>100 % gemahlene Fleischknochen vom Pferd</t>
  </si>
  <si>
    <t>https://www.pahema.com/basics/kalzium-mineralstoffe/knochenmehl.html</t>
  </si>
  <si>
    <t>100 % gemahlene Fleischknochen vom Rind</t>
  </si>
  <si>
    <t>L-Carnitin Plus</t>
  </si>
  <si>
    <t>https://www.pahema.com/basics/kalzium-mineralstoffe/carnitin.html</t>
  </si>
  <si>
    <t>Zellulose, Magnesiumfumarat</t>
  </si>
  <si>
    <t>Magnesium Plus</t>
  </si>
  <si>
    <t>https://www.pahema.com/basics/kalzium-mineralstoffe/magnesium-plus.html</t>
  </si>
  <si>
    <t>Dillsamen, Bockshornkleesamen, Thymian, Brennnesselsamen, Magnesiumcitrat</t>
  </si>
  <si>
    <t xml:space="preserve">MSM Pulver  </t>
  </si>
  <si>
    <t>99,9% reines Methylsulfonylmethan (OptiMSM®)</t>
  </si>
  <si>
    <t>https://www.pahema.com/basics/kalzium-mineralstoffe/msm.html</t>
  </si>
  <si>
    <t>https://www.pahema.com/basics/kalzium-mineralstoffe/rinderblutpulver.html</t>
  </si>
  <si>
    <t>100 % Vollblut vom Rind, getrocknet</t>
  </si>
  <si>
    <t>Zeolith</t>
  </si>
  <si>
    <t>https://www.pahema.com/basics/kalzium-mineralstoffe/zeolith-plus.html</t>
  </si>
  <si>
    <t>Klinoptilolith-Zeolith, Fenchel</t>
  </si>
  <si>
    <t>Zeolith PLUS</t>
  </si>
  <si>
    <t>Knochenmehl Ziege</t>
  </si>
  <si>
    <t>https://www.pahema.com/basics/kalzium-mineralstoffe/ziegenknochenmehl.html</t>
  </si>
  <si>
    <t>100 % gemahlene Fleischknochen von der Ziege</t>
  </si>
  <si>
    <t>https://www.pahema.com/basics/ole-essig/algenoel.html</t>
  </si>
  <si>
    <t>100 % Algenöl, aus Meeresalge Schizochytrium sp., natürliche Tocopherole</t>
  </si>
  <si>
    <t>https://www.pahema.com/basics/ole-essig/bio-apfelessig.html</t>
  </si>
  <si>
    <t>Bio Borretschöl</t>
  </si>
  <si>
    <t>100% pures BorretschÖl, kaltgepresst</t>
  </si>
  <si>
    <t>https://www.pahema.com/basics/ole-essig/bio-borretschoel.html</t>
  </si>
  <si>
    <t>https://www.pahema.com/basics/ole-essig/bio-hanfoel.html</t>
  </si>
  <si>
    <t>100% pures Bio-Hanföl</t>
  </si>
  <si>
    <t>https://www.pahema.com/basics/ole-essig.html</t>
  </si>
  <si>
    <t>100% pures Kokosöl(-fett) </t>
  </si>
  <si>
    <t>Leinsamenöl</t>
  </si>
  <si>
    <t>https://www.pahema.com/basics/ole-essig/bio-leinsamenoel.html</t>
  </si>
  <si>
    <t>100 % kaltgepresstes Leinöl</t>
  </si>
  <si>
    <t>100% Bio MCT Öl</t>
  </si>
  <si>
    <t>https://www.pahema.com/basics/ole-essig/bio-nachtkerzenoel.html</t>
  </si>
  <si>
    <t>https://www.pahema.com/basics/ole-essig/bio-mct-oel.html</t>
  </si>
  <si>
    <t>100% pures Bio-Nachtkerzensamenöl</t>
  </si>
  <si>
    <t>https://www.pahema.com/basics/ole-essig/dorsch-lebertran.html</t>
  </si>
  <si>
    <t>100% Dorsch-Lebertran</t>
  </si>
  <si>
    <t>https://www.pahema.com/basics/ole-essig/krilloel.html</t>
  </si>
  <si>
    <t>Krill Öl</t>
  </si>
  <si>
    <t>100% reines Leinsamen-Öl </t>
  </si>
  <si>
    <t>https://www.pahema.com/basics/ole-essig/leinsamenoel.html</t>
  </si>
  <si>
    <t>100 % reines Lachs-Öl (Salmo salar)</t>
  </si>
  <si>
    <t>https://www.pahema.com/basics/ole-essig/lachsoel.html</t>
  </si>
  <si>
    <t>https://www.pahema.com/basics/ole-essig/rinderfettpulver.html</t>
  </si>
  <si>
    <t>Rinderfett (sprühgetrocknet)</t>
  </si>
  <si>
    <t>Ballaststoffmix</t>
  </si>
  <si>
    <t>https://www.pahema.com/basics/gemuese-flocken/ballaststoff-mix.html</t>
  </si>
  <si>
    <t>50 % pektinreicher Apfeltrester, 50 % Zellulose</t>
  </si>
  <si>
    <t>Bio Cranberry Fruchtpulver</t>
  </si>
  <si>
    <t>https://www.pahema.com/basics/gemuese-flocken/cranberry-fruchtpulver.html</t>
  </si>
  <si>
    <t>100% Bio Cranberry-Fruchtpulver</t>
  </si>
  <si>
    <t>Bio Kokosmehl</t>
  </si>
  <si>
    <t>100 % pures Kokosnussmehl (bot. Cocos nucifera)</t>
  </si>
  <si>
    <t>https://www.pahema.com/basics/gemuese-flocken/kokosmehl.html</t>
  </si>
  <si>
    <t>https://www.pahema.com/basics/gemuese-flocken/futterzellulose.html</t>
  </si>
  <si>
    <t>100% Pulverzellulose</t>
  </si>
  <si>
    <t>Karottenflocken</t>
  </si>
  <si>
    <t>100 % Karotte, getrocknet, aus Europa</t>
  </si>
  <si>
    <t>https://www.pahema.com/basics/gemuese-flocken/karotten.html</t>
  </si>
  <si>
    <t>Morosche Karottensuppe</t>
  </si>
  <si>
    <t>https://www.pahema.com/basics/gemuese-flocken/karottensuppe.html</t>
  </si>
  <si>
    <t>Karotten, Wasser, Salz</t>
  </si>
  <si>
    <t xml:space="preserve">Rote Bete </t>
  </si>
  <si>
    <t>https://www.pahema.com/basics/gemuese-flocken/rote-bete.html</t>
  </si>
  <si>
    <t>100 % rote Bete</t>
  </si>
  <si>
    <t>Sorghum Hirse</t>
  </si>
  <si>
    <t>100% Sorghum Hirse, gepoppt</t>
  </si>
  <si>
    <t>https://www.pahema.com/basics/gemuese-flocken/sorghum-hirse.html</t>
  </si>
  <si>
    <t>Atemwege Kräuter</t>
  </si>
  <si>
    <t>Pfefferminzblätter, Thymian, Kamillenblüten, Spitzwegerich, Primelwurzel (alle Kräuter gemahlen)</t>
  </si>
  <si>
    <t>https://www.pahema.com/basics/kraeuter-mischungen/atemwege-kraeuter.html</t>
  </si>
  <si>
    <t>Augen Kräuter</t>
  </si>
  <si>
    <t>https://www.pahema.com/basics/kraeuter-mischungen/augen-kraeuter.html</t>
  </si>
  <si>
    <t>Augentrost, Ringelblumenblüten, Schachtelhalmkraut, Malve (gemahlen)</t>
  </si>
  <si>
    <t>Balance Mix</t>
  </si>
  <si>
    <t>https://www.pahema.com/basics/kraeuter-mischungen/balance-mix.html</t>
  </si>
  <si>
    <t>Mönchspfeffer, Eisenkraut, Hopfen, Schafgarbe, Melissenblätter</t>
  </si>
  <si>
    <t>Bio Magen Kräuter</t>
  </si>
  <si>
    <t>https://www.pahema.com/basics/kraeuter-mischungen/bio-magen-kraeuter.html</t>
  </si>
  <si>
    <t>Bio-Eibischwurzel, Bio-Fenchel braun bitter, Bio-Kamillenblüten europ., Bio-Pfefferminzblätter, Bio-Anis, Bio-Pfeilwurzel (Kräuter gemahlen)</t>
  </si>
  <si>
    <t>Dental Herbs</t>
  </si>
  <si>
    <t>Bio Weintraubenkerne, Petersilienblätter, Ratanhiawurzel, Myrrhenharz, Zeolith</t>
  </si>
  <si>
    <t>https://www.pahema.com/basics/kraeuter-mischungen/dental-herbs.html</t>
  </si>
  <si>
    <t>Derma Plus</t>
  </si>
  <si>
    <t>https://www.pahema.com/basics/kraeuter-mischungen/derma-plus.html</t>
  </si>
  <si>
    <t>Klettenwurzel, Klebkraut, Brennnesselblätter, Schachtelhalmkraut, Löwenzahnblätter- und wurzel, Rotkleeblüten</t>
  </si>
  <si>
    <t>Haut und Fell Kräuter</t>
  </si>
  <si>
    <t>https://www.pahema.com/basics/kraeuter-mischungen/haut-fell-kraeuter.html</t>
  </si>
  <si>
    <t>Schachtelhalm geschnitten, Hagebuttenschalen geschnitten, Brennnesselblätter geschnitten, Kamillenblüten ganz, Birkenblätter geschnitten, Löwenzahnblätter geschnitten, Ringelblumenblätter ganz</t>
  </si>
  <si>
    <t>Move it</t>
  </si>
  <si>
    <t>https://www.pahema.com/basics/kraeuter-mischungen/move-it.html</t>
  </si>
  <si>
    <t>Grünlippmuschel (GAG Wert 3,0%), Kollagen-Hydrolysat vom Schwein, Heidelbeere</t>
  </si>
  <si>
    <t>https://www.pahema.com/basics/kraeuter-pur/aloe-vera.html</t>
  </si>
  <si>
    <t>Aloe Vera Anteil von 99,7% aus reinem Gel</t>
  </si>
  <si>
    <t>Bio Alfalfa</t>
  </si>
  <si>
    <t>https://www.pahema.com/basics/kraeuter-pur/bio-alfalfa.html</t>
  </si>
  <si>
    <t>100% Bio Alfalfa gemahlen (Medicago sativa)</t>
  </si>
  <si>
    <t>Bio Brennnesselblätter</t>
  </si>
  <si>
    <t>100 % Bio Brennnesselblätter, gemahlen (Urtica dioica)</t>
  </si>
  <si>
    <t>https://www.pahema.com/basics/kraeuter-pur/bio-brennnesselblaetter.html</t>
  </si>
  <si>
    <t>Bio Brennnesselsamen</t>
  </si>
  <si>
    <t>https://www.pahema.com/basics/kraeuter-pur/bio-brennnesselsamen.html</t>
  </si>
  <si>
    <t>100% Bio Brennesselsamen (Urtica dioica)</t>
  </si>
  <si>
    <t>Bio Flohsamenschalen</t>
  </si>
  <si>
    <t>https://www.pahema.com/basics/kraeuter-pur/bio-flohsamenschalen.html</t>
  </si>
  <si>
    <t>100 % BIO-Flohsamenschalen (Plantago ovata Samenschalen)</t>
  </si>
  <si>
    <t>Bio Gerstengras</t>
  </si>
  <si>
    <t>https://www.pahema.com/basics/kraeuter-pur/bio-gerstengras.html</t>
  </si>
  <si>
    <t>Getrocknetes, pulverisiertes grünes Gerstengras aus Bio-Landwirtschaft</t>
  </si>
  <si>
    <t>Bio Himbeerblatt</t>
  </si>
  <si>
    <t>https://www.pahema.com/basics/kraeuter-pur/bio-himbeerblatt.html</t>
  </si>
  <si>
    <t>100 % Bio Himbeerblätter (Rubus iadeus)</t>
  </si>
  <si>
    <t>Bio Löwenzahnblätter</t>
  </si>
  <si>
    <t>https://www.pahema.com/basics/kraeuter-pur/bio-loewenzahnblaetter.html</t>
  </si>
  <si>
    <t>100% Bio Löwenzahnblätter gemahlen</t>
  </si>
  <si>
    <t>Bio Löwenzahnsaft</t>
  </si>
  <si>
    <t>100 % Bio-Löwenzahnsaft (Taraxacum officinale)</t>
  </si>
  <si>
    <t>https://www.pahema.com/basics/kraeuter-pur/bio-loewenzahnsaft.html</t>
  </si>
  <si>
    <t>Katzenkralle</t>
  </si>
  <si>
    <t>https://www.pahema.com/basics/kraeuter-pur/katzenkralle.html</t>
  </si>
  <si>
    <t>100 % pure Katzenkralle (Uncaria tomentosa)</t>
  </si>
  <si>
    <t>Klettenwurzel</t>
  </si>
  <si>
    <t>100 % Klettenwurzel (Arctium lappa / Große Klette), gemahlen</t>
  </si>
  <si>
    <t>https://www.pahema.com/basics/kraeuter-pur/klettenwurzel.html</t>
  </si>
  <si>
    <t>Mariendistelsamen</t>
  </si>
  <si>
    <t>100 % pure Mariendistel-Samen </t>
  </si>
  <si>
    <t>https://www.pahema.com/basics/kraeuter-pur/mariendistel-samen.html</t>
  </si>
  <si>
    <t>Slippery Elm Pulver</t>
  </si>
  <si>
    <t>100 % pure amerikanische Rotulmenrinde (amerik. Ulmus rubra) getrocknet &amp; pulverisiert (Innere Rinde)</t>
  </si>
  <si>
    <t>https://www.pahema.com/basics/kraeuter-pur/slippery-elm.html</t>
  </si>
  <si>
    <t>Teufelskrallen-Wurzel</t>
  </si>
  <si>
    <t>100 % pure Teufelskralle</t>
  </si>
  <si>
    <t>https://www.pahema.com/basics/kraeuter-pur/teufelskrallen-wurzel.html</t>
  </si>
  <si>
    <t>Bio Chlorellla</t>
  </si>
  <si>
    <t>https://www.pahema.com/basics/algen-pur/bio-chlorella.html</t>
  </si>
  <si>
    <t>100 % pure Chlorella-Alge (Chlorella Vulgaris)</t>
  </si>
  <si>
    <t>100% Bio Seetang (Ascophyllum Nodosum)</t>
  </si>
  <si>
    <t>https://www.pahema.com/basics/algen-pur/bio-seealgenmehl.html</t>
  </si>
  <si>
    <t>https://www.pahema.com/basics/algen-pur/bio-spirulina.html</t>
  </si>
  <si>
    <t>100 % Bio Spirulina-Alge getrocknet &amp; pulverisiert</t>
  </si>
  <si>
    <t>https://www.pahema.com/basics/algen-pur/gruenlippmuschel-pulver.html</t>
  </si>
  <si>
    <t>100 % Grünlippmuschelpulver, gefriergetrocknet </t>
  </si>
  <si>
    <t>Rinderfett vom Weiderind</t>
  </si>
  <si>
    <t>PerNaturam</t>
  </si>
  <si>
    <t>https://www.pernaturam.de/rinder-fett-vom-weiderind-m7178</t>
  </si>
  <si>
    <t>Rinderfett von Fleischabschnitten, Lecithin</t>
  </si>
  <si>
    <t>Fiskur Granuliertes Fischfeinfett</t>
  </si>
  <si>
    <t>Feinfett aus Fischen</t>
  </si>
  <si>
    <t>https://www.pernaturam.de/fiskur-m6682</t>
  </si>
  <si>
    <t>SilkyCoat</t>
  </si>
  <si>
    <t>https://www.pernaturam.de/silkycoat-m7097</t>
  </si>
  <si>
    <t>Kaltgepresste Öl-Mischung aus Sonnenblumen-,Raps-, Hanf-, Leinsamen- und Arganöl.</t>
  </si>
  <si>
    <t>https://www.pernaturam.de/lachs-oel-m7096</t>
  </si>
  <si>
    <t>Omega-3 reiche Ölmischung aus Lachs-,Öl (mind. 40 %), Makrelen- und Sardinen-Öl </t>
  </si>
  <si>
    <t>Koriander-Propolis-Öl</t>
  </si>
  <si>
    <t>https://www.pernaturam.de/bio-koriander-propolis-oel-m7084</t>
  </si>
  <si>
    <t>Bio-Rapsöl, Bio-Koriander (5%), Bio-Propolis (1%)</t>
  </si>
  <si>
    <t>https://www.pernaturam.de/hanf-oel-m7098</t>
  </si>
  <si>
    <t>100 % Hanf-Öl</t>
  </si>
  <si>
    <t>Dorsch-Lebertran</t>
  </si>
  <si>
    <t>https://www.pernaturam.de/dorsch-lebertran-50-ml-m7274</t>
  </si>
  <si>
    <t>https://www.pernaturam.de/lithothamnium-algenkalk-100-g-m6763</t>
  </si>
  <si>
    <t>Lithothamnium Algenkalk</t>
  </si>
  <si>
    <t>100 % Kalkalge, Lithothamnium calcareum</t>
  </si>
  <si>
    <t>Katlement</t>
  </si>
  <si>
    <t>https://www.pernaturam.de/katlement-m6684</t>
  </si>
  <si>
    <t>Bierhefe, Quinoakeimlinge (B-Vitamine), Lecithin (GVO-frei), Blütenpollen, Leberpulver, Hagebutten, Grünlippmuschel, Seealgen, Mangrovenalge, Spirulina.</t>
  </si>
  <si>
    <t>https://www.pernaturam.de/bio-loewenzahnsaft-m7092</t>
  </si>
  <si>
    <t>100 % Bio-Löwenzahnsaft (Taraxacum officinale).</t>
  </si>
  <si>
    <t>EnteroKlin</t>
  </si>
  <si>
    <t>https://www.pernaturam.de/enteroklin-m6646</t>
  </si>
  <si>
    <t>Matatabi, Spirulina</t>
  </si>
  <si>
    <t>KatVitin</t>
  </si>
  <si>
    <t>https://www.pernaturam.de/katvitin-50-g-m6916</t>
  </si>
  <si>
    <t>Gefriergetrocknetes Kolostrum vom Rind, Bierhefe.</t>
  </si>
  <si>
    <t xml:space="preserve">Intestin  </t>
  </si>
  <si>
    <t xml:space="preserve">Intestin </t>
  </si>
  <si>
    <t>https://www.pernaturam.de/intestin-m6679</t>
  </si>
  <si>
    <t>Guarkernmehl, Löwenzahnwurzel, Olivenblätter, wilder Majoran, Salbei und Thymian</t>
  </si>
  <si>
    <t>Bio Kurkuma-Myrrhe-Öl</t>
  </si>
  <si>
    <t>https://www.pernaturam.de/bio-curcuma-myrrhe-oel-m7083</t>
  </si>
  <si>
    <t>Bio-Rapsöl, Bio-Sesamöl, Bio-Curcuma (5 %), Bio-Myrrhe (1 %), Schwarzer Bio-Pfeffer.</t>
  </si>
  <si>
    <t>Kretischer Oregano</t>
  </si>
  <si>
    <t>https://www.pernaturam.de/kretischer-origano-250-g-m6929</t>
  </si>
  <si>
    <t>100 % Origano-Blätter und Blüten, gerebelt</t>
  </si>
  <si>
    <t>Kretischer Salbei</t>
  </si>
  <si>
    <t>100 % Kretischer Salbei, gerebelt</t>
  </si>
  <si>
    <t>https://www.pernaturam.de/kretischer-salbei-200-g-m6930</t>
  </si>
  <si>
    <t>Weihrauchpulver</t>
  </si>
  <si>
    <t>Weihrauchpulver (70 %) (Boswellia serrata), Joghurtpulver.</t>
  </si>
  <si>
    <t>https://www.pernaturam.de/olibanum-weihrauchpulver-m6764</t>
  </si>
  <si>
    <t>KatKolosal Kapseln</t>
  </si>
  <si>
    <t>https://www.pernaturam.de/katkolsal-kapseln-m6650</t>
  </si>
  <si>
    <t>100 % gefriergetrocknetes Kolostrum</t>
  </si>
  <si>
    <t>Kolsal-Kolostrum</t>
  </si>
  <si>
    <t>https://www.pernaturam.de/kolsal-kolostrum-125-ml-m7040</t>
  </si>
  <si>
    <t>100 % hochgereinigte Kolostralmilch</t>
  </si>
  <si>
    <t>Wermexil</t>
  </si>
  <si>
    <t>https://www.pernaturam.de/wermexil-m6619</t>
  </si>
  <si>
    <t>30 % Wilder Wermut, Hagebuttenkerne, Kokosraspeln, Strahlenlose Kamille, Origanum und Thymian.</t>
  </si>
  <si>
    <t>Usniotica</t>
  </si>
  <si>
    <t>https://www.pernaturam.de/usniotica-m7079</t>
  </si>
  <si>
    <t>Kokosöl, Sonnenblumenöl, Bartflechte und Ringelblume</t>
  </si>
  <si>
    <t>Bio Crataesaft</t>
  </si>
  <si>
    <t>Bio CrataeSaft</t>
  </si>
  <si>
    <t>https://www.pernaturam.de/bio-crataesaft-m7077</t>
  </si>
  <si>
    <t> Bio-Weißdornblättern mit Blüten, Bio-Mistel und Bio-Rosmarin.</t>
  </si>
  <si>
    <t xml:space="preserve">Nephron </t>
  </si>
  <si>
    <t>Nephron</t>
  </si>
  <si>
    <t>https://www.pernaturam.de/nephron-m6677</t>
  </si>
  <si>
    <t>Ackerschachtelhalm, Bohnenhülsen, Katzenbart.</t>
  </si>
  <si>
    <t>Heparmarin</t>
  </si>
  <si>
    <t>https://www.pernaturam.de/heparmarin-m6678</t>
  </si>
  <si>
    <t>Rapsöl (raffiniert gehärtet), Matatabi, Spaltkörbchen, Süßholz, Löwenzahnwurzel.</t>
  </si>
  <si>
    <t>AceroKat C</t>
  </si>
  <si>
    <t>https://www.pernaturam.de/acerokat-c-50-g-m6649</t>
  </si>
  <si>
    <t>Acerola, Leberpulver (vom Schwein).</t>
  </si>
  <si>
    <t>AceroKat</t>
  </si>
  <si>
    <t>Dentovin</t>
  </si>
  <si>
    <t>https://www.pernaturam.de/dentovin-m6703</t>
  </si>
  <si>
    <t>Bestandteile aus Traubenkernen, Myrrhe, Katzenminze</t>
  </si>
  <si>
    <t>Bio Expectorant</t>
  </si>
  <si>
    <t>https://www.pernaturam.de/bio-expectorant-m7085</t>
  </si>
  <si>
    <t>Pflanzensaft aus Bio-Thymiankraut (Thymus vulgaris), Bio-Primelwurzel (Primula veris), Bio-Süßholzwurzel (Glycyrrhiza glabra).</t>
  </si>
  <si>
    <t>Felicox</t>
  </si>
  <si>
    <t>https://www.shop-apotheke.at/tiergesundheit/D18829236/felicox-gr.htm</t>
  </si>
  <si>
    <t>Calciumcarbonat 14,3 %, Erzeugnisse aus der Verarbeitung von Pflanzen: Taigawurzel / Sibirischer Ginseng (Eleutherococcus senticosus) 3,0 %, Spaltkörbchenbeeren (Schisandra chinensis), Rosenwurz (Rhodiola rosea), Weißdornbeeren (Crataegus oxyacantha) 1,8 %, Ewiges Jugendkraut (Gynostemma pentaphyllum) 1,2 %, Artischockenblätter (Cynara cardunculus), Ginsengwurzel / Koreanischer Ginseng (Panax ginseng); Fischöl (Quelle von Omegafettsäuren) 11,4 %, Glucosaminsulfat (2KCl, aus tierischem Gewebe / Krustentieren) 9,5 %, Methylsulphonylmethan (MSM) 9,5 %, Trockenalgen (Schizochytrium), Fructo-Oligosaccharide 3,2 %, Trockenalgen (Spirulina) (Arthrospira platensis), Hefenerzeugnisse* (Saccharomyces cerevisiae) 3,0 %, Chondroitinsulfat (aus tierischem Gewebe / Geflügel) 2,5 %, Trockenalgen (Chlorella sp.), Mono- und Diglyceride von Fettsäuren, Kaliumchlorid 0,03 %.</t>
  </si>
  <si>
    <t>Felurit</t>
  </si>
  <si>
    <t>https://www.vetapo-austria.at/detail/index/sArticle/3132?srsltid=AfmBOoovExsF4aA0KxIIcIqzGkuuSeGI_lMuC_7kksHS48dIk0vOL9o6</t>
  </si>
  <si>
    <t>Hefenerzeugnisse (Saccharomyces cerevisiae), N-Acetyl-D-Glucosamin (aus tierischem Gewebe / Krustentieren) 12,5 %, Erzeugnisse aus der Verarbeitung von Pflanzen: Winterkirsche (Withania somnifera), Rehmanniawurzel (Rehmannia glutinosa, getrocknet) 2,5 %; D-Mannose 10 %, Cranberrysaft-Konzentrat 5 %, Maisstärke, Fischöl (Quelle von Omegafettsäuren) 3,6 %, Fructo-Oligosaccharide, Chondroitinsulfat, Natriumchlorid 0,5 %, Kaliumchlorid 0,4 %.</t>
  </si>
  <si>
    <t>Placamax</t>
  </si>
  <si>
    <t>https://www.vetapo-austria.at/detail/index/sArticle/3180?sPartner=adwords&amp;gad_source=1&amp;gclid=Cj0KCQiA_qG5BhDTARIsAA0UHSLOELZ_f2n9BCfQezV-bsy9lqbu-eE5lNZ_Vv9Jfrk-iVZFKjMck94aArzREALw_wcB</t>
  </si>
  <si>
    <t>Fleisch und tierische Nebenerzeugnisse (Pankreas vom Schwein, 35 %), Früchte (Ananas, getrocknet 4%),  Geflügelprotein, Hefe</t>
  </si>
  <si>
    <t>Rascave hepar</t>
  </si>
  <si>
    <t>https://www.mdpetfood.at/katzen/nahrungsergaenzung/2233/rascave-hepar-katze</t>
  </si>
  <si>
    <t>Geflügelprotein (teilweise hydrolisert), Magermilchpulver, Hefen, Erzeugnis aus der Verarbeitung von Kräutern (Mariendistel – Silybum marianum 4,8 %), Methylsulfonylmethan (MSM), Erzeugnisse aus der Verarbeitung von frischem Obst und Gemüse (Artischocke – Cynara scolymus).</t>
  </si>
  <si>
    <t>Zilcalm Pulver</t>
  </si>
  <si>
    <t>https://www.shop-apotheke.at/tiergesundheit/D19292488/zilcalm-pulver.htm?campaign=priceC/guenstiger/19292488/NOCBP/331973914537916569&amp;expa=gue</t>
  </si>
  <si>
    <t>Erzeugnisse aus der Verarbeitung von Pflanzen: Ashwagandha (Withania somnifera), Ingwerwurzel (gemahlen) (Zingiber officinale), Fischöl (Quelle von Omegafettsäuren) 13,6 %, Calciumcarbonat, Hefenerzeugnisse*, Milchproteinhydrolysat, Fructo-Oligosaccharide*, Magnesiumoxid 1,4 %, Zichorien-Inulin (Cichorium intybus)*, Calciumstearat.</t>
  </si>
  <si>
    <t>Three Dog Night</t>
  </si>
  <si>
    <t>https://barfshop.de/de/fuer-hunde/oele/32/dorschlebertran</t>
  </si>
  <si>
    <t>Barfers Omega-3-6-9-Öl</t>
  </si>
  <si>
    <t>https://barfshop.de/de/fuer-hunde/oele/30/barfers-omega-3-6-9-oel</t>
  </si>
  <si>
    <t>Omega 3 Fischöl aus zertifiziert nachhaltigem Wildfang, Borretschöl</t>
  </si>
  <si>
    <t>https://barfshop.de/de/fuer-hunde/calciumpraeparate/22/calciumcarbonat</t>
  </si>
  <si>
    <t> Calciumcarbonat 100%</t>
  </si>
  <si>
    <t>https://barfshop.de/de/fuer-hunde/calciumpraeparate/24/bio-eierschalenpulver</t>
  </si>
  <si>
    <t>100 % fein gemahlenes Bio* Eierschalenpulver</t>
  </si>
  <si>
    <t>https://barfshop.de/de/fuer-hunde/vitaminreiches/8/bio-hagebutten</t>
  </si>
  <si>
    <t>100 % gemahlene Bio* Hagebutten (Schalen und Kerne)</t>
  </si>
  <si>
    <t>https://barfshop.de/de/fuer-hunde/vitaminreiches/5/spirulina</t>
  </si>
  <si>
    <t>100 % Spirulina Süßwasseralge</t>
  </si>
  <si>
    <t>Petogen Vital</t>
  </si>
  <si>
    <t>Dr Wolz</t>
  </si>
  <si>
    <t>https://barfshop.de/de/fuer-hunde/vitaminreiches/41/dr.-wolz-petogen-vital-250-ml</t>
  </si>
  <si>
    <t>Hefe, Honig, Weizenkeimöl, Acerola</t>
  </si>
  <si>
    <t>Bio Kürbiskerne</t>
  </si>
  <si>
    <t> 100 % Bio* Kürbiskerne ohne Schale</t>
  </si>
  <si>
    <t>https://barfshop.de/de/fuer-hunde/vitaminreiches/211/bio-kuerbiskerne-200-g</t>
  </si>
  <si>
    <t>https://barfshop.de/de/fuer-hunde/vitaminreiches/6/bio-cordyceps-kapseln-800-mg</t>
  </si>
  <si>
    <t>Bio* Cordyceps sinensis Cs-4 Myzelenpulver, Bio* Reis, Hydroxypropylmethylcellulose</t>
  </si>
  <si>
    <t>Bio Cordyceps Kapseln</t>
  </si>
  <si>
    <t>https://barfshop.de/de/fuer-hunde/gelenke-knochen/27/msm</t>
  </si>
  <si>
    <t> 100 % OptiMSM (Methylsulfonylmethan)</t>
  </si>
  <si>
    <t>100 % Bio*-Flohsamenschalen</t>
  </si>
  <si>
    <t>https://barfshop.de/de/fuer-hunde/kraeuter-algen/einzelkraeuter/197/bio-flohsamenschalen</t>
  </si>
  <si>
    <t>Gelenkflex</t>
  </si>
  <si>
    <t>https://barfshop.de/de/fuer-hunde/gelenke-knochen/28/gelenk-flex</t>
  </si>
  <si>
    <t>MSM, Glucosamin, Chondroitin, mikrokristalline Cellulose oder Cellulosegel, Vitamin C, vernetzte Carboxymethylcellulose oder Cellulosegummi, Hydroxypropylcellulose, Reiskonzentrat, Reisextrakt, Hydroxypropylmethylcellulose (pflanzliche Beschichtung).</t>
  </si>
  <si>
    <t>Kollagen Hydrolysat</t>
  </si>
  <si>
    <t>https://barfshop.de/de/fuer-hunde/gelenke-knochen/25/kollagen-hydrolysat</t>
  </si>
  <si>
    <t>100 % Kollagen-Hydrolysat aus Schweineschwarten</t>
  </si>
  <si>
    <t>Muschelextrakt</t>
  </si>
  <si>
    <t>https://barfshop.de/de/fuer-hunde/gelenke-knochen/26/muschelextrakt</t>
  </si>
  <si>
    <t>100 % Perna Canaliculus Muschelfleischmehl</t>
  </si>
  <si>
    <t>Brennnesselsamen</t>
  </si>
  <si>
    <t>Brennnnesselsamen</t>
  </si>
  <si>
    <t>https://barfshop.de/de/fuer-hunde/kraeuter-algen/einzelkraeuter/209/bio-brennnesselsamen-ganz-150-g</t>
  </si>
  <si>
    <t>100 % Bio*-Brennnesselsamen (semen Urtica dioica)</t>
  </si>
  <si>
    <t>Bio Roots</t>
  </si>
  <si>
    <t>https://barfshop.de/de/fuer-hunde/kraeuter-algen/kraeutermischungen/20/bio-roots</t>
  </si>
  <si>
    <t> Bio-Eibischwurzel*, Bio-Pfeilwurzel*, Bio-Eichenrinde*, Bio-Fenchel*, Bio-Süssholzwurzel*, Bio-Anis* </t>
  </si>
  <si>
    <t>Derma Phyt</t>
  </si>
  <si>
    <t>https://barfshop.de/de/fuer-hunde/kraeuter-algen/kraeutermischungen/17/derma-phyt</t>
  </si>
  <si>
    <t>Klettenwurzel, Klebkraut, Sarsaparillwurzel, Brennesselblatt, Rotkleeblüten, Mahonienwurzel, Löwenzahnblatt, Löwenzahnwurzel</t>
  </si>
  <si>
    <t>Renal Phyt</t>
  </si>
  <si>
    <t>https://barfshop.de/de/fuer-hunde/kraeuter-algen/kraeutermischungen/18/renal-phyt</t>
  </si>
  <si>
    <t>Brennnesselsamen, Artischockenkraut, Birkenblätter, Tragantwurzel, Klebkraut, Klettenwurzel, Brennnesselblätter, Kamillenblüten, Weißdornblätter, Weißdornbeeren, Thymian</t>
  </si>
  <si>
    <t>Senior Phyt</t>
  </si>
  <si>
    <t>https://barfshop.de/de/fuer-hunde/kraeuter-algen/kraeutermischungen/19/senior-phyt</t>
  </si>
  <si>
    <t>Bio-Weißdornblüten, Bio-Schachtelhalm, Bio-Petersilienblatt, Bio-Mariendistelsamen, Bio-Klettenwurzel, Bio-Eibischwurzel, Bio-Brennnesselblatt, Bio-Süssholzwurzel, Bio-Löwenzahnwurzel, Bio-Löwenzahnblatt, Bio-Ingwerwurzel, Bio-Heidelbeerblatt, Brunnenkresse</t>
  </si>
  <si>
    <t>Green</t>
  </si>
  <si>
    <t>https://barfshop.de/de/fuer-hunde/kraeuter-algen/kraeutermischungen/21/green</t>
  </si>
  <si>
    <t>Spirulina, Petersilie, Brennnesselsamen, Brunnenkresse, Dillkraut, Stiefmütterchenkraut</t>
  </si>
  <si>
    <t>Ascophyllum nodosum</t>
  </si>
  <si>
    <r>
      <t> </t>
    </r>
    <r>
      <rPr>
        <sz val="8"/>
        <color rgb="FF64564B"/>
        <rFont val="GeloRegular"/>
      </rPr>
      <t>100 % Bio Ascophyllum Nodosum</t>
    </r>
  </si>
  <si>
    <t>https://barfshop.de/de/fuer-hunde/kraeuter-algen/algen/3/bio-ascophyllum-nodosum</t>
  </si>
  <si>
    <t>100 % Bio* Himbeerblatt</t>
  </si>
  <si>
    <t>https://barfshop.de/de/fuer-hunde/kraeuter-algen/einzelkraeuter/10/bio-himbeerblatt</t>
  </si>
  <si>
    <t xml:space="preserve">Slippery Elm </t>
  </si>
  <si>
    <t>https://barfshop.de/de/fuer-hunde/kraeuter-algen/einzelkraeuter/7/slippery-elm</t>
  </si>
  <si>
    <t>100 % Slippery Elm</t>
  </si>
  <si>
    <t>https://barfshop.de/de/fuer-hunde/kraeuter-algen/einzelkraeuter/11/bio-gerstengras</t>
  </si>
  <si>
    <t>100 % Bio* Gerstengras</t>
  </si>
  <si>
    <t>100 % fein gemahlene Wurzel der Großen Klette </t>
  </si>
  <si>
    <t>https://barfshop.de/de/fuer-hunde/kraeuter-algen/einzelkraeuter/12/klettenwurzel</t>
  </si>
  <si>
    <t>100% gemahlene Wurzelrinde der Uncaria tomentosa Pflanze</t>
  </si>
  <si>
    <t>https://barfshop.de/de/fuer-hunde/kraeuter-algen/einzelkraeuter/13/katzenkralle</t>
  </si>
  <si>
    <t>Algen und Kräuter</t>
  </si>
  <si>
    <t>Kelp (Ascophyllum Nodosum), Alfalfa, Brennnessel, Klettenlabkraut, Löwenzahn, Ackerschachtelhalm, Rotkleeblüten, Pfefferminz, Dillspitzen, Rosmarin, Salbei</t>
  </si>
  <si>
    <t>https://barfshop.de/de/fuer-hunde/kraeuter-algen/kraeutermischungen/2/algen-und-kraeuter</t>
  </si>
  <si>
    <t>Paul und Paulina</t>
  </si>
  <si>
    <t>https://paul-paulina.com/hunde/zusaetze/flocken-und-nahrungsergaenzung/fleischknochenmehle-fettpulver/829/kaninchenknochenmehl?srsltid=AfmBOorx0zrnDor_C6dGHRmqDNBkvZh8rbgdnHq2tUmYD7E2c418zHBK</t>
  </si>
  <si>
    <t>100% gemahlene Kaninchenknochen</t>
  </si>
  <si>
    <t>3-6-9 Öl mit Borretsch</t>
  </si>
  <si>
    <t>https://paul-paulina.com/hunde/zusaetze/kaltgepresste-oele-fischoele-algenoel/755/3-6-9-oel-mit-borretsch?c=214</t>
  </si>
  <si>
    <t>Fischöl, Borretschöl</t>
  </si>
  <si>
    <t>3-6-9-Öl mit Borretsch</t>
  </si>
  <si>
    <t>3-6-9-Öl mit Nachtkerze</t>
  </si>
  <si>
    <t>Fischöl, Nachtkerzenöl</t>
  </si>
  <si>
    <t>https://paul-paulina.com/hunde/zusaetze/kaltgepresste-oele-fischoele-algenoel/754/3-6-9-oel-mit-nachtkerze?c=214</t>
  </si>
  <si>
    <t>Algenkalk gemahlen</t>
  </si>
  <si>
    <t>Algenkalk (100% Lithothamnium calcareum, Korallenalgenkalk)</t>
  </si>
  <si>
    <t>https://paul-paulina.com/hunde/zusaetze/flocken-und-nahrungsergaenzung/kraeuter-algen-blutpulver-nahrungsergaenzungen/147/algenkalk-gemahlen?c=214</t>
  </si>
  <si>
    <t>100% Saccharomyces cerevisiae</t>
  </si>
  <si>
    <t>https://paul-paulina.com/hunde/zusaetze/flocken-und-nahrungsergaenzung/kraeuter-algen-blutpulver-nahrungsergaenzungen/133/bierhefe?c=214</t>
  </si>
  <si>
    <t>https://paul-paulina.com/hunde/zusaetze/flocken-und-nahrungsergaenzung/gemuese-und-obst/905/buchweizenkeimpulver-vitamin-b-komplex?c=214</t>
  </si>
  <si>
    <t>https://paul-paulina.com/hunde/zusaetze/kaltgepresste-oele-fischoele-algenoel/289/dorschlebertran?c=214</t>
  </si>
  <si>
    <t>https://paul-paulina.com/hunde/zusaetze/flocken-und-nahrungsergaenzung/kraeuter-algen-blutpulver-nahrungsergaenzungen/149/eierschalenmehl?c=214</t>
  </si>
  <si>
    <t>Entenfleischknochenmehl</t>
  </si>
  <si>
    <t>https://paul-paulina.com/hunde/zusaetze/flocken-und-nahrungsergaenzung/fleischknochenmehle-fettpulver/800/entenfleischknochenmehl?c=214</t>
  </si>
  <si>
    <t>Entenfleischknochen gemahlen</t>
  </si>
  <si>
    <t>Lammfleischknochenmehl</t>
  </si>
  <si>
    <t>Lammfleischknochen gemahlen</t>
  </si>
  <si>
    <t>https://paul-paulina.com/hunde/zusaetze/flocken-und-nahrungsergaenzung/fleischknochenmehle-fettpulver/308/lammfleischknochenmehl?c=214</t>
  </si>
  <si>
    <t>Pferdefleischknochenmehl</t>
  </si>
  <si>
    <t>Rindfleischknochenmehl</t>
  </si>
  <si>
    <t>https://paul-paulina.com/hunde/zusaetze/flocken-und-nahrungsergaenzung/fleischknochenmehle-fettpulver/413/pferdefleischknochenmehl?number=E-PM-0250.1&amp;c=214</t>
  </si>
  <si>
    <t>Pferdefleischknochen gemahlen</t>
  </si>
  <si>
    <t>Rindfleischknochenmehl gemahlen</t>
  </si>
  <si>
    <t>https://paul-paulina.com/hunde/zusaetze/flocken-und-nahrungsergaenzung/fleischknochenmehle-fettpulver/398/rindfleischknochenmehl?number=E-RM&amp;c=214</t>
  </si>
  <si>
    <t>Wildfleischknochenmehl</t>
  </si>
  <si>
    <t>Wildfleischknochenmehl gemahlen</t>
  </si>
  <si>
    <t>https://paul-paulina.com/hunde/zusaetze/flocken-und-nahrungsergaenzung/fleischknochenmehle-fettpulver/302/wildfleischknochenmehl?c=214</t>
  </si>
  <si>
    <t>https://paul-paulina.com/hunde/zusaetze/kaltgepresste-oele-fischoele-algenoel/943/algenoel?c=175</t>
  </si>
  <si>
    <t>100% Meeresalge Schizochytrium</t>
  </si>
  <si>
    <t>https://paul-paulina.com/hunde/zusaetze/flocken-und-nahrungsergaenzung/kraeuter-algen-blutpulver-nahrungsergaenzungen/852/flohsamenschalen-gemahlen?c=175</t>
  </si>
  <si>
    <t>Geflügelblutpulver getrocknet</t>
  </si>
  <si>
    <t>https://paul-paulina.com/hunde/zusaetze/flocken-und-nahrungsergaenzung/kraeuter-algen-blutpulver-nahrungsergaenzungen/853/gefluegelblutpulver-getrocknet?c=175</t>
  </si>
  <si>
    <t>getrocknetes und pulverisiertes Geflügelblut </t>
  </si>
  <si>
    <t>Gelenkkomplex</t>
  </si>
  <si>
    <t>Gelenkkomplex mit Glucosamin, Chondroitinsulfat, MSM</t>
  </si>
  <si>
    <t>https://paul-paulina.com/hunde/zusaetze/flocken-und-nahrungsergaenzung/kraeuter-algen-blutpulver-nahrungsergaenzungen/977/gelenkkomplex-mit-glucosamin-chondroitinsulfat-msm?c=175</t>
  </si>
  <si>
    <t>Hagebutte, Grünlippmuschel, Glucosamin, Kollagen Hydrolysat, MSM (Methylsulfonylmethan), Chondroitinsulfat, Teufelskralle</t>
  </si>
  <si>
    <t>100% Perna canaliculus</t>
  </si>
  <si>
    <t>https://paul-paulina.com/hunde/zusaetze/flocken-und-nahrungsergaenzung/kraeuter-algen-blutpulver-nahrungsergaenzungen/129/gruenlippmuschel?c=175</t>
  </si>
  <si>
    <t>Hagebuttenschalen gemahlen</t>
  </si>
  <si>
    <t>Hagebuttenschalen (100% Cynosbati Fruct.) </t>
  </si>
  <si>
    <t>https://paul-paulina.com/hunde/zusaetze/flocken-und-nahrungsergaenzung/kraeuter-algen-blutpulver-nahrungsergaenzungen/123/hagebuttenschalen-gemahlen?c=175</t>
  </si>
  <si>
    <t>Hanföl kaltgepresst</t>
  </si>
  <si>
    <t>https://paul-paulina.com/hunde/zusaetze/kaltgepresste-oele-fischoele-algenoel/251/hanfoel-kaltgepresst?c=175</t>
  </si>
  <si>
    <t>Hanfsamenöl</t>
  </si>
  <si>
    <t>Kokosflocken</t>
  </si>
  <si>
    <t>https://paul-paulina.com/hunde/zusaetze/flocken-und-nahrungsergaenzung/gemuese-und-obst/401/kokosflocken?c=175</t>
  </si>
  <si>
    <t>Kokosöl im Glas</t>
  </si>
  <si>
    <t>https://paul-paulina.com/hunde/zusaetze/kaltgepresste-oele-fischoele-algenoel/312/kokosoel-im-glas?c=175</t>
  </si>
  <si>
    <t>https://paul-paulina.com/hunde/zusaetze/kaltgepresste-oele-fischoele-algenoel/924/krilloel-fluessig-mit-dosierspender?c=175</t>
  </si>
  <si>
    <t>https://paul-paulina.com/hunde/zusaetze/kaltgepresste-oele-fischoele-algenoel/923/krilloel-kapseln?c=175</t>
  </si>
  <si>
    <t>https://paul-paulina.com/hunde/zusaetze/kaltgepresste-oele-fischoele-algenoel/288/lachsoel?c=175</t>
  </si>
  <si>
    <t>Leinöl kaltgepresst</t>
  </si>
  <si>
    <t>100% Leinöl</t>
  </si>
  <si>
    <t>https://paul-paulina.com/hunde/zusaetze/kaltgepresste-oele-fischoele-algenoel/250/leinoel-kaltgepresst?c=175</t>
  </si>
  <si>
    <t>https://paul-paulina.com/hunde/zusaetze/flocken-und-nahrungsergaenzung/kraeuter-algen-blutpulver-nahrungsergaenzungen/579/msm?c=175</t>
  </si>
  <si>
    <t>Methylsulfonylmethan</t>
  </si>
  <si>
    <t>Rinderblutpulver getrocknet</t>
  </si>
  <si>
    <t>https://paul-paulina.com/hunde/zusaetze/flocken-und-nahrungsergaenzung/kraeuter-algen-blutpulver-nahrungsergaenzungen/847/rinderblutpulver-getrocknet?c=175</t>
  </si>
  <si>
    <t>Schonkostbrei/Welpenbrei</t>
  </si>
  <si>
    <t>https://paul-paulina.com/katzen/zusaetze/1027/schonkostbrei/welpenbrei?c=175</t>
  </si>
  <si>
    <t>Ziegenvollmilchpulver bio, Hirse, Fenchel und amerikanische Ulmenrinde</t>
  </si>
  <si>
    <t>https://paul-paulina.com/hunde/zusaetze/flocken-und-nahrungsergaenzung/kraeuter-algen-blutpulver-nahrungsergaenzungen/75/seealgenmehl?c=175</t>
  </si>
  <si>
    <t>Spirulina platensis</t>
  </si>
  <si>
    <t>https://paul-paulina.com/hunde/zusaetze/flocken-und-nahrungsergaenzung/kraeuter-algen-blutpulver-nahrungsergaenzungen/127/spirulina-platensis-gemahlen?c=175</t>
  </si>
  <si>
    <t>https://paul-paulina.com/hunde/zusaetze/flocken-und-nahrungsergaenzung/kraeuter-algen-blutpulver-nahrungsergaenzungen/856/taurin-fuer-katzen?c=175</t>
  </si>
  <si>
    <t>Ulmenrinde</t>
  </si>
  <si>
    <t>Ulmenrinde gemahlen</t>
  </si>
  <si>
    <t>https://paul-paulina.com/hunde/zusaetze/flocken-und-nahrungsergaenzung/kraeuter-algen-blutpulver-nahrungsergaenzungen/739/ulmenrinde-elm-bark-powder?c=175</t>
  </si>
  <si>
    <t>Kieselerde gemahlen</t>
  </si>
  <si>
    <t>100 % reines Kieselgur-Pulver</t>
  </si>
  <si>
    <t>https://paul-paulina.com/hunde/zusaetze/flocken-und-nahrungsergaenzung/kraeuter-algen-blutpulver-nahrungsergaenzungen/855/kieselerde-gemahlen?c=209</t>
  </si>
  <si>
    <t>belaGo</t>
  </si>
  <si>
    <t>belaGo - dogcat</t>
  </si>
  <si>
    <t>OrthoCell</t>
  </si>
  <si>
    <t>https://orthocell-shop.de/produkt/belago-dogcat/</t>
  </si>
  <si>
    <t>Hefen, Hefenerzeugnisse, Dextrose, Rapsöl</t>
  </si>
  <si>
    <t>Klinoptilolith für Tiere</t>
  </si>
  <si>
    <t>Klinopilolith sedimentären Ursprungs</t>
  </si>
  <si>
    <t>https://orthocell-shop.de/produkt/belamin-klinoptilolith-fuer-tiere/</t>
  </si>
  <si>
    <t>Klinopilolith</t>
  </si>
  <si>
    <t>Alga Humin</t>
  </si>
  <si>
    <t>Pharmawerk Weinböhla</t>
  </si>
  <si>
    <t>Reisquellmehl, Cellu-Ligno-Karbon-Isolat, Algenmehl, Johannisbrotmehl</t>
  </si>
  <si>
    <t>Sobamin</t>
  </si>
  <si>
    <t>https://www.pharmawerk-weinboehla.de/wp-content/uploads/2018/03/PWW_Infoblatt_Sobamin_180329_Ansicht-1.pdf</t>
  </si>
  <si>
    <t>Cellu-Ligno-Karbon-Isolat (CLK-WH67®)</t>
  </si>
  <si>
    <t>Chill mal</t>
  </si>
  <si>
    <t>Chill mal für Hunde und Katzen</t>
  </si>
  <si>
    <t>Mycani</t>
  </si>
  <si>
    <t>https://mycani.shop/collections/mycani-shop/products/chill-mal-fiffi-nachfullpulver</t>
  </si>
  <si>
    <t>https://www.pharmawerk-weinboehla.de/produkt/alga-humin/</t>
  </si>
  <si>
    <t>Passionsblume, Hericium, Taigawurzel, Ysop, Ahswaganda</t>
  </si>
  <si>
    <t>Entgifter für Hunde und Katzen</t>
  </si>
  <si>
    <t>https://mycani.shop/collections/mycani-shop/products/entgifter-200g-dose</t>
  </si>
  <si>
    <t>Reishi, Maitake, Süßholzwurzel, Brennnessel, Löwenzahn</t>
  </si>
  <si>
    <t>Entgifter</t>
  </si>
  <si>
    <t>Giardia Garaus</t>
  </si>
  <si>
    <t>Giardia Garaus für Hunde und Katzen</t>
  </si>
  <si>
    <t>https://mycani.shop/collections/mycani-shop/products/giardia-garaus-fiffi-nachfullpack</t>
  </si>
  <si>
    <t>Thymian, Majoran, Oregano, Hericium, Coriolus</t>
  </si>
  <si>
    <t>Graubart</t>
  </si>
  <si>
    <t>Graubart für Hunde und Katzen</t>
  </si>
  <si>
    <t>Kürbiskerne, Reishi, Auricularia, Katzenkralle, Hagebutte</t>
  </si>
  <si>
    <t>https://mycani.shop/collections/mycani-shop/products/graubart-fiffi-nachfullpulver</t>
  </si>
  <si>
    <t>Liebestoll für Hunde und Katzen</t>
  </si>
  <si>
    <t>https://mycani.shop/collections/mycani-shop/products/liebestoll-doggo</t>
  </si>
  <si>
    <t> Cordyceps sinensis, Keuchschlammsamen, Weihrauch</t>
  </si>
  <si>
    <t>Liebestoll</t>
  </si>
  <si>
    <t>Mach mal</t>
  </si>
  <si>
    <t>Mach mal Saft für Hunde und Katzen</t>
  </si>
  <si>
    <t>https://mycani.shop/collections/mycani-shop/products/pankre-as-pulver-200g-dose</t>
  </si>
  <si>
    <t>Hericium, Coprinus, Löwenzahn, Tausendgüldenkraut, Mariendistel</t>
  </si>
  <si>
    <t>Mimose</t>
  </si>
  <si>
    <t>https://mycani.shop/collections/mycani-shop/products/kopie-von-mimose-doggo-pulver-1</t>
  </si>
  <si>
    <t> Hericium, Agaricus blazei muril, Taigawurzel, Hagebutte, Zistrose</t>
  </si>
  <si>
    <t>Organpolierer</t>
  </si>
  <si>
    <t> Artischocke, Cordyceps sinensis, Reishi, Mariendistel, Löwenzahn</t>
  </si>
  <si>
    <t>https://mycani.shop/collections/mycani-shop/products/organpolierer-200g-dose</t>
  </si>
  <si>
    <t>Rennsemmel</t>
  </si>
  <si>
    <t>Cordyceps sinensis, Auricularia, Weihrauch, Hagebutte, Grünlippmuschel</t>
  </si>
  <si>
    <t>Durchspüler</t>
  </si>
  <si>
    <t>https://mycani.shop/products/rennsemmel-fiffi-nachfullpulver?srsltid=AfmBOoo4TWaAp0jMa_f0sYImtEeN8KJNkSHgnPnn2seZn4ojRWM51pVq</t>
  </si>
  <si>
    <t>Vitalpilze Coriolus, Cordyceps, Birke, Brennessel, Goldrute</t>
  </si>
  <si>
    <t>https://pets-bio-world.at/produkt/durchspueler-pulver-fuer-katzen-von-mycani-100g/</t>
  </si>
  <si>
    <t>Vitamin Optimix Feline</t>
  </si>
  <si>
    <t>Calciumcarbonat, Kaliumchlorid, Natriumchlorid</t>
  </si>
  <si>
    <t>https://www.futtermedicus.at/1648/vitamin-optimix-feline-150-g?c=152</t>
  </si>
  <si>
    <t>Futtermedicus</t>
  </si>
  <si>
    <t>Feli Senior</t>
  </si>
  <si>
    <t>Calciumcarbonat, Kaliumchlorid, Muschelfleischmehl, Glucosaminhydrochlorid, Chondroitinsulfat, Magnesiumoxid, Natriumchlorid</t>
  </si>
  <si>
    <t>https://www.futtermedicus.at/1805/feli-senior-150-g?c=152</t>
  </si>
  <si>
    <t>Fellglanz Algen-Hanf-Öl</t>
  </si>
  <si>
    <t>https://www.futtermedicus.at/2020/fellglanz-algen-hanf-oel?c=156</t>
  </si>
  <si>
    <t>Hanföl 90 %, Algenöl 10 % (Schizochytrium spp.)</t>
  </si>
  <si>
    <t>Optisolo Omega 3 Fischölkapseln</t>
  </si>
  <si>
    <t>https://www.futtermedicus.at/2022/optisolo-omega-3-fischoelkapseln?c=156</t>
  </si>
  <si>
    <t> 500 mg Fischöl (Seefisch aus Atlantik und Pazifik), Gelatine (Rind), Pflanzenglycerin</t>
  </si>
  <si>
    <t>Optinature MagenPlus</t>
  </si>
  <si>
    <t>https://www.futtermedicus.at/magenplus-at?c=156</t>
  </si>
  <si>
    <t>Ulmenrinde, Flohsamenschalen, Apfeltrester, Pektin</t>
  </si>
  <si>
    <t>100 % Ulmenrinde</t>
  </si>
  <si>
    <t>https://www.futtermedicus.at/2009/ulmenrinde?c=156</t>
  </si>
  <si>
    <t>Fellglanz Veggie Öl</t>
  </si>
  <si>
    <t>https://www.futtermedicus.at/2004/fellglanz-veggie-oel?c=156</t>
  </si>
  <si>
    <t>Optinature DarmPlus</t>
  </si>
  <si>
    <t>OptiNature DarmPlus</t>
  </si>
  <si>
    <t>https://www.futtermedicus.at/1993/optinature-darmplus?c=156</t>
  </si>
  <si>
    <t>Zicchorien-Inulin, Zellulose</t>
  </si>
  <si>
    <t>https://www.futtermedicus.at/1813/dorschlebertran-250-ml?c=156</t>
  </si>
  <si>
    <t> 100% Lebertran vom Dorsch</t>
  </si>
  <si>
    <t>https://www.futtermedicus.at/1800/mct-oel-500-ml?c=156</t>
  </si>
  <si>
    <t>Mittelkettige Fettsäuren (99% Capryl- und Caprinsäure) aus Kokosöl</t>
  </si>
  <si>
    <t>Rinderblutmehl</t>
  </si>
  <si>
    <t>100 % getrocknetes Vollblut vom Rind</t>
  </si>
  <si>
    <t>https://www.futtermedicus.at/1809/rinderblutmehl-250-g?c=156</t>
  </si>
  <si>
    <t>https://www.futtermedicus.at/1762/eierschalen-250-g?c=156</t>
  </si>
  <si>
    <t>OptiNature Algenölkapseln</t>
  </si>
  <si>
    <t>https://www.futtermedicus.at/1741/optinature-algenoelkapseln-80-stueck?c=156</t>
  </si>
  <si>
    <t> 96,3 % Algenöl (Schizochytrium sp.) , 3,2 % Sonnenblumenöl, 0,3 % Rosmarinextrakt, Hülle (Glycerin, modifizierte Maisstärke, Wasser, Natriumcarbonat)</t>
  </si>
  <si>
    <t>Optinature Fellglanz Barf Öl</t>
  </si>
  <si>
    <t>https://www.futtermedicus.at/1645/optinature-fellglanz-barf-oel-250-ml?c=156</t>
  </si>
  <si>
    <t>42 % Distelöl, 32 % Leinöl, 26 % Fischöl</t>
  </si>
  <si>
    <t>Fellglanz Barf Öl</t>
  </si>
  <si>
    <t>Omega 3 Lachsöl</t>
  </si>
  <si>
    <t>https://www.futtermedicus.at/1612/omega-3-lachsoel?c=156</t>
  </si>
  <si>
    <t>Pektinreicher Apfeltrester</t>
  </si>
  <si>
    <t>https://www.futtermedicus.at/1790/pektinreicher-apfeltrester?c=156</t>
  </si>
  <si>
    <t>Apfeltrester, Apfelpektin</t>
  </si>
  <si>
    <t>OptiSolo Kupfer</t>
  </si>
  <si>
    <t>https://www.futtermedicus.at/1466/optisolo-kupfer-150-g?c=156</t>
  </si>
  <si>
    <t>Apfelfaser, Karotte, rote Beete</t>
  </si>
  <si>
    <t>OptiBallast</t>
  </si>
  <si>
    <t>https://www.futtermedicus.at/1219/optiballast-zellulose-600-g?c=156</t>
  </si>
  <si>
    <t>https://www.futtermedicus.at/1180/seealgenmehl-220-g?c=156</t>
  </si>
  <si>
    <t>Ascophyllum nodosum 100%</t>
  </si>
  <si>
    <t>OptiBallast Enteral</t>
  </si>
  <si>
    <t>https://www.futtermedicus.at/1220/optiballast-enteral?c=156</t>
  </si>
  <si>
    <t>Zellulose, Flohsamenschalen, Pektin</t>
  </si>
  <si>
    <t>Eibischwurzel</t>
  </si>
  <si>
    <t>Eibischwurzel (gemahlen)</t>
  </si>
  <si>
    <t>https://www.futtermedicus.at/1037/eibischwurzel?c=156</t>
  </si>
  <si>
    <t>Optisolo B-Komplex</t>
  </si>
  <si>
    <t>OptiSolo B-Komplex</t>
  </si>
  <si>
    <t>https://www.futtermedicus.at/1004/optisolo-b-komplex-100-g?c=156</t>
  </si>
  <si>
    <t>Zichorienwurzel, Zellulose</t>
  </si>
  <si>
    <t>OptiSolo Magnesium</t>
  </si>
  <si>
    <t>https://www.futtermedicus.at/967/optisolo-magnesium-120-g?c=156</t>
  </si>
  <si>
    <t>Magnesiumoxid, Zellulose</t>
  </si>
  <si>
    <t>OptiSolo Zink</t>
  </si>
  <si>
    <t>https://www.futtermedicus.at/1094/optisolo-zink-90-g?c=156</t>
  </si>
  <si>
    <t>Optinature Probiotic Kapseln</t>
  </si>
  <si>
    <t>https://www.futtermedicus.at/778/optinature-probiotic-120-kapseln?c=156</t>
  </si>
  <si>
    <t>Maltodextrin, Hydroxypropylcellulose (Kapselhülle), Oligofructose, Magnesiumstearat</t>
  </si>
  <si>
    <t>100% Calciumcarbonat</t>
  </si>
  <si>
    <t>https://www.futtermedicus.at/1425/calciumcarbonat-200-g?c=156</t>
  </si>
  <si>
    <t>OptiSolo Taurin</t>
  </si>
  <si>
    <t>https://www.futtermedicus.at/1404/optisolo-taurin?c=156</t>
  </si>
  <si>
    <t>Calciumcarbonat, Magnesiumoxid</t>
  </si>
  <si>
    <t>Grünlippmuschel 100%</t>
  </si>
  <si>
    <t>https://www.futtermedicus.at/354/gruenlippmuschel?c=156</t>
  </si>
  <si>
    <t>Antinol</t>
  </si>
  <si>
    <t xml:space="preserve">Antinol </t>
  </si>
  <si>
    <t>Selectavet</t>
  </si>
  <si>
    <t>Olivenöl, Gelatine (Rind), Grünlippmuschelöl aus Perna canaliculus (03995-EU), Glycerin, Wasser</t>
  </si>
  <si>
    <t>https://www.selectavet.de/fileadmin/selectavet/content/ordermanager/Antinol_Katze_2024-07.pdf</t>
  </si>
  <si>
    <t>B-Vitamin Tabletten</t>
  </si>
  <si>
    <t>https://www.selectavet.de/fileadmin/selectavet/content/ordermanager/6535_B-Vitamin_Tabletten_2024-03.pdf</t>
  </si>
  <si>
    <t>Pflanzliche Nebenerzeugnisse, Milch und Molkereierzeugnisse, Öle und Fette (pflanzlich)</t>
  </si>
  <si>
    <t>Bactisel-HK</t>
  </si>
  <si>
    <t>Bactisel HK</t>
  </si>
  <si>
    <t>https://www.selectavet.de/fileadmin/selectavet/content/ordermanager/Bactisel-HK_2023-08.pdf</t>
  </si>
  <si>
    <t>Traubenzucker Molkepulver, teilentzuckert Maisstärke Pflanzenöl (Sonnenblumenöl)</t>
  </si>
  <si>
    <t>Bactisel Gel</t>
  </si>
  <si>
    <t>https://www.selectavet.de/produkte/produkt-informationen/details/s/bactisel-hk-gel.html</t>
  </si>
  <si>
    <t>Öle und Fette</t>
  </si>
  <si>
    <t>Bevitasel HK</t>
  </si>
  <si>
    <t>Traubenzucker, Maisstärke</t>
  </si>
  <si>
    <t>https://www.selectavet.de/fileadmin/selectavet/content/ordermanager/Bevitasel_2023-08.pdf</t>
  </si>
  <si>
    <t>Biosel HK</t>
  </si>
  <si>
    <t>https://www.selectavet.de/fileadmin/selectavet/content/ordermanager/3030_Biosel-HK_2023-08.pdf</t>
  </si>
  <si>
    <t>Traubenzucker Natriumchlorid Dicalciumphosphat Molkenfettpulver</t>
  </si>
  <si>
    <t>Biosel HK Tabletten</t>
  </si>
  <si>
    <t>Biosel HK Pulver</t>
  </si>
  <si>
    <t>https://www.selectavet.de/fileadmin/selectavet/content/ordermanager/Biosel_HK_Tabletten.pdf</t>
  </si>
  <si>
    <t>Dextrose Reisgrieß</t>
  </si>
  <si>
    <t>Ekzedermasel-Kapseln</t>
  </si>
  <si>
    <t>https://www.selectavet.de/fileadmin/selectavet/content/ordermanager/Ekzedermasel_Kapseln-2022-11.pdf</t>
  </si>
  <si>
    <t>Pflanzenöl Seetieröl Gelatine (Fisch) Glyerin Wasser</t>
  </si>
  <si>
    <t>Ekzedermasel Tropfen</t>
  </si>
  <si>
    <t>Pflanzenöl, Seetieröl</t>
  </si>
  <si>
    <t>https://www.selectavet.de/fileadmin/selectavet/content/ordermanager/Ekzedermasel_Tropfen_2023-01.pdf</t>
  </si>
  <si>
    <t>Enterosel HK Gel</t>
  </si>
  <si>
    <t>https://www.selectavet.de/fileadmin/selectavet/content/ordermanager/Enterosel-HK-Gel_2019-05.pdf</t>
  </si>
  <si>
    <t>Öle und Fette Molke aus Kolostrum 20 %</t>
  </si>
  <si>
    <t>Gastrosel</t>
  </si>
  <si>
    <t>Pflanzliche Nebenerzeugnisse Milch und Molkereierzeugnisse Öle und Fette (pflanzlich) Magnesiumoxid 1,7 %</t>
  </si>
  <si>
    <t>https://www.selectavet.de/fileadmin/selectavet/content/ordermanager/6622_Gastrosel_2021-01.pdf</t>
  </si>
  <si>
    <t>Ig-Pro DC Hund und Katze</t>
  </si>
  <si>
    <t>Pflanzliche Öle und Fette (Sonnenblume raffiniert), Eiprodukte (getrocknet) 20,00 %, Hefen, Natriumchlorid, Kaliumchlorid, Erzeugnisse aus der Verarbeitung von Kräutern (Petersilie), Traubenzucker</t>
  </si>
  <si>
    <t>https://www.selectavet.de/fileadmin/selectavet/content/ordermanager/Ig-PRO_DC_2020-12.pdf</t>
  </si>
  <si>
    <t>Keravita</t>
  </si>
  <si>
    <t>Dermoscent Laboratoire</t>
  </si>
  <si>
    <t>https://www.selectavet.de/fileadmin/selectavet/content/ordermanager/Keravita_2023-12.pdf</t>
  </si>
  <si>
    <t>Dicalciumphosphat Geschmacksverbesserung: Nebenprodukte von Geflügel, Hefen, Zucker Bierhefe Zinkgluconat Tricalciumphosphat Leinöl Magnesiumstearat Weizenprotein Maltodextrin Bambus-Extrakt 0,370 % (5,00 mg) Hirse-Extrakt</t>
  </si>
  <si>
    <t>Legavit-Komplex</t>
  </si>
  <si>
    <t>https://www.selectavet.de/fileadmin/selectavet/content/ordermanager/6705_Legavit-Komplex-2024-03.pdf</t>
  </si>
  <si>
    <t>Pflanzliche Nebenerzeugnisse (u.a. Mariendistelfrüchte, extrahiert 5,1 %) Milch und Molkereierzeugnisse Öle und Fette (pflanzlich)</t>
  </si>
  <si>
    <t>Multivitasel</t>
  </si>
  <si>
    <t>Multivitasel HK</t>
  </si>
  <si>
    <t>https://www.selectavet.de/fileadmin/selectavet/content/ordermanager/Multivitasel-HK_2019-10_20200211_104210.pdf</t>
  </si>
  <si>
    <t>Hefe (an Biertreber gebunden) Molkenpulver Dicalciumphosphat Natriumchlorid Weizenfuttermehl Calciumcarbonat Pflanzenöl (Sonnenblumenöl)</t>
  </si>
  <si>
    <t>Multivitasel HK Tabletten</t>
  </si>
  <si>
    <t>https://www.selectavet.de/fileadmin/selectavet/content/ordermanager/Multivitasel-HK-Tabletten-2023-04.pdf</t>
  </si>
  <si>
    <t>Hefe Monocalciumphosphat Seealgenmehl Cellulosepulver Magnesiumstearat Stärke Talkum</t>
  </si>
  <si>
    <t>Nutri-Cal</t>
  </si>
  <si>
    <t>NutriCal</t>
  </si>
  <si>
    <t>Dechra</t>
  </si>
  <si>
    <t>https://www.selectavet.de/produkte/produkt-informationen/details/s/nutri-cal.html</t>
  </si>
  <si>
    <t>Glukosesirup, Sojaöl, Malz, Fischöl, Zuckerrohrmelasse, Magnesiumsulfat-Heptahydrat. Enthält aus genetisch veränderten Organismen hergestellte Glukose und Sojaöl</t>
  </si>
  <si>
    <t>Phyto-Cardiosel</t>
  </si>
  <si>
    <t>https://www.vetapo-austria.at/selectavet/phyto-cardiosel-hund-und-katze-100ml?srsltid=AfmBOoqWxgw4zIGELho7efPFfSv25zyCQNhg8THCAaJ4xZFcyNogzjbe</t>
  </si>
  <si>
    <t>Traubenzucker, Vitaminhefe, Pflanzliche Nebenerzeugnisse, extrahiert (Weißdorn, Gingseng), 1,2-Propandiol</t>
  </si>
  <si>
    <t>Phyto-Legasel</t>
  </si>
  <si>
    <t>Pflanzliche Nebenerzeugnisse Milch und Molkereierzeugnisse Öle und Fette (pflanzlich)</t>
  </si>
  <si>
    <t>https://www.selectavet.de/fileadmin/selectavet/content/ordermanager/Phyto-Legasel_200.pdf</t>
  </si>
  <si>
    <t>Phyto-Nephro</t>
  </si>
  <si>
    <t>https://www.shop-apotheke.at/tiergesundheit/D8023561/phyto-nephro-fuer-pferde-hunde-und-katzen.htm?campaign=priceC/guenstiger/08023561/NOCBP/437220816816150387&amp;expa=gue</t>
  </si>
  <si>
    <t>Wasser 62%, Saccharose 35%, Grünmehl, extrahiert (Katzenbart, Buchklee, Bärentraube) 9%</t>
  </si>
  <si>
    <t>Uti-Zen</t>
  </si>
  <si>
    <t>Dermoscent</t>
  </si>
  <si>
    <t>Dextrose, Kranbeeren-Pulver (Vaccinium macrocarpon): 14,8 % (≙ 200 mg je Tablette) Geschmacksverbesserung: Nebenprodukte von Geflügel, Hefen, Zucker; Tricalciumphosphat, Magnesiumstearat.</t>
  </si>
  <si>
    <t>Canosan</t>
  </si>
  <si>
    <t>https://www.medpets.at/dermoscent-uti-zen</t>
  </si>
  <si>
    <t>https://www.canosan.de/canosan-fuer-katzen</t>
  </si>
  <si>
    <t>Sorbitol, inaktivierte Hefe (Saccharomyces cerevisiae), getrocknetes Muschelfleisch (Perna canaliculus) 14%, Lupinenproteinmehl, Dinatriumphosphat, Sonnenblumenöl</t>
  </si>
  <si>
    <t>Bio Colostrum Fluid</t>
  </si>
  <si>
    <t>https://bestvital.de/produkt/bestvital-bio-colostrum-fluid-fuer-ihr-tier/</t>
  </si>
  <si>
    <t>100 % Kolostrum</t>
  </si>
  <si>
    <t>biovital</t>
  </si>
  <si>
    <t>Bio Colostrum Pulver für Ihr Tier</t>
  </si>
  <si>
    <t>100% Kolostrumpulver</t>
  </si>
  <si>
    <t>https://bestvital.de/produkt/bestvital-colostrum-pulver-fuer-ihr-tier/</t>
  </si>
  <si>
    <t>VMP Paste</t>
  </si>
  <si>
    <t>Zoetis</t>
  </si>
  <si>
    <t>https://www.shop-apotheke.at/tiergesundheit/D11283656/vmp-katzenpaste.htm</t>
  </si>
  <si>
    <t>Erdnussöl, Hefe/ Hefeextrakte, Dicalzium-Phosphat, Laktose, Magnesiumoxid, Fleisch- Erzeugnisse</t>
  </si>
  <si>
    <t>Edenfood</t>
  </si>
  <si>
    <t>100% Bio-Eierschalenpulver</t>
  </si>
  <si>
    <t>https://www.edenfood.de/Bio-Eierschalenpulver-120g</t>
  </si>
  <si>
    <t>Grünlippmuschelextrakt</t>
  </si>
  <si>
    <t>Grünlippmuschelextrakt </t>
  </si>
  <si>
    <t>https://www.edenfood.de/Gruenlippmuschelextrakt-80g</t>
  </si>
  <si>
    <t>Bio Hagebuttenpulver</t>
  </si>
  <si>
    <t>https://www.edenfood.de/Bio-Hagebuttenpulver-120g</t>
  </si>
  <si>
    <t>100% BIO-Hagebuttenpulver</t>
  </si>
  <si>
    <t>https://www.edenfood.de/Seealgenmehl-120g</t>
  </si>
  <si>
    <t>Rote Seealge</t>
  </si>
  <si>
    <t>https://www.edenfood.de/Rote-Seealge-170g</t>
  </si>
  <si>
    <t>100% Rote Seealge</t>
  </si>
  <si>
    <t>Samylin</t>
  </si>
  <si>
    <t>SAMe (S-Adenosyl-L-Methionin), Silybin, Glycerin.</t>
  </si>
  <si>
    <t>https://www.medpets.at/vetplus-samylin-tabletten</t>
  </si>
  <si>
    <t>Complivit</t>
  </si>
  <si>
    <t>https://www.medpets.at/vetplus-complivit</t>
  </si>
  <si>
    <t>Sojaöl, Glukose-Fruktose-Sirup, Wasser, Glycerin, Aroma, Lebertran, Inulin, Zitronensäure, Lecithin, Siliciumdioxid, Natriumchlorid.</t>
  </si>
  <si>
    <t>L-Lysin Hund und Katze</t>
  </si>
  <si>
    <t>sensipharm</t>
  </si>
  <si>
    <t>https://www.sensipharm.eu/sensipharm-l-lysin-hund-katze-100-kapseln.html</t>
  </si>
  <si>
    <t>500 mg L-Lysin (Hydrochlorid), Reisstärke, Siliziumdioxid und Hydroxypropylmethylcellulose</t>
  </si>
  <si>
    <t>Omniderma</t>
  </si>
  <si>
    <t>https://www.sensipharm.eu/omniderma-250-mg-90-tabl.html</t>
  </si>
  <si>
    <t>Gypsum, Rehmannia (Raw), Tangkuei, Siler, Atractylodes Red, Schizonepeta, Arctium, Sophora, Anemarrhena, Sesame Seeds, Clematis Armandi, Cicada, Licorice, Binder.</t>
  </si>
  <si>
    <t>Sneeze Aid</t>
  </si>
  <si>
    <t>https://www.sensipharm.eu/sneeze-aid-250-mg-90-tabl.html</t>
  </si>
  <si>
    <t>Linocera, Forsythia, Platycodon, Arctium, mentha, Soja, Lopathera, Schizonepeta, Isatis Root, Isatis Folium, Scute, Trichosanthes Root and Binder.</t>
  </si>
  <si>
    <t>Joint Renew Plus</t>
  </si>
  <si>
    <t>https://www.sensipharm.eu/joint-renew-plus-1000-mg-90-tabl.html</t>
  </si>
  <si>
    <t>Methylsulfonylmethaan, Haaienkraakbeen en Magnesiumstearaat. Toevoegingsmiddelen: Vitamine C (3a300) Siliciumdioxide, Hydroxypropylcellulose Natriumcroscarmellose en Microkristalijne Cellulose.</t>
  </si>
  <si>
    <t>Echianacea Immunbooster</t>
  </si>
  <si>
    <t>Echinacea Immunbooster</t>
  </si>
  <si>
    <t>https://www.sensipharm.eu/echinacea-immunbooster-100-ml.html</t>
  </si>
  <si>
    <t>Echinacea Purpurea, Astratgalus Membranaceus, Glycerine, Rhodigel Easy, Propyleenglucol, Methylparaben (alc. 20% vol%).</t>
  </si>
  <si>
    <t>Geria Comfort</t>
  </si>
  <si>
    <t>https://www.sensipharm.eu/geria-comfort-250-mg-90-tabl.html</t>
  </si>
  <si>
    <t>Polygonum, Mulberry, Eclipta, Cuscuta, Dioscorea, Hoelen, Euryale, Binder.</t>
  </si>
  <si>
    <t>Feelings Control</t>
  </si>
  <si>
    <t>https://www.sensipharm.eu/feelings-control-1000-mg-90-tabl.html</t>
  </si>
  <si>
    <t>Zizyphus, Oyster Shell, Anemarrhena, Ligusticum, Polygala, Hoelen, Licorice, Binder.</t>
  </si>
  <si>
    <t>Pulmitranq</t>
  </si>
  <si>
    <t>https://www.sensipharm.eu/pulmitranq-250-mg-90-tabl.html</t>
  </si>
  <si>
    <t>Codonopsis, Astragalus Root, Rehmania (Cooked), Mume, Astra, Schizandra, Morus Bark, Perilla Seed, Fritillaria, Platycodon, Pinellia, Ginger Dry, Binder.</t>
  </si>
  <si>
    <t>Anal Gland Support</t>
  </si>
  <si>
    <t>Angelica sinensis, Rehmannia glutinosa, Ligustrum lucidum, Carthamus tinctorius, Prunus persica, Rad. Alba Paeonia lactiflora, Rad. Rubra Paeonia lactiflora en Binder.</t>
  </si>
  <si>
    <t>https://www.sensipharm.eu/anal-gland-support-1000-mg-90-tabl.html</t>
  </si>
  <si>
    <t>Kidney Care Plus</t>
  </si>
  <si>
    <t>https://www.sensipharm.eu/kidney-care-plus-250-mg-90-tabl.html</t>
  </si>
  <si>
    <t>Astragalus, Salvia, Phellodendron, Attractylodes Red, Coix, Cyathula en binder. </t>
  </si>
  <si>
    <t>Urologist Aid</t>
  </si>
  <si>
    <t>https://www.sensipharm.eu/urologist-aid-250-mg-90-tabl.html</t>
  </si>
  <si>
    <t>Desmodium, Lygodium Spores, Dianthus, Abutilon, Pyrrosia, Plantago Seed, Talc, Shen Chu, Licorice en Binder.</t>
  </si>
  <si>
    <t>Obesitas Stop</t>
  </si>
  <si>
    <t>https://www.sensipharm.eu/obesitas-stop-250-mg-90-tabl.html</t>
  </si>
  <si>
    <t>Hoelen, Chih-Shih, Coptis, Pinellia, Ginger (Dried), Tangerine Seed, Arisaema, Licorice, Atractylodes Red, Binder</t>
  </si>
  <si>
    <t>Monoderma Dry</t>
  </si>
  <si>
    <t>Scrophularia, Ophiopogon, Gambir, Peony Red, Moutan, Dictamnus, Binder.</t>
  </si>
  <si>
    <t>https://www.sensipharm.eu/monoderma-dry-250-mg-90-tabl.html</t>
  </si>
  <si>
    <t>Gastro Entero Comfort</t>
  </si>
  <si>
    <t>https://www.sensipharm.eu/gastro-entero-comfort-250-mg-90-tabl.html</t>
  </si>
  <si>
    <t>Codonopsis, Atractylodes White, Ginger Raw, Hoelen, Siler, Atractylodes Red, Cardamon, Licorice, Binder.</t>
  </si>
  <si>
    <t>Smooth Locomotion</t>
  </si>
  <si>
    <t>https://www.sensipharm.eu/smooth-locomotion-250-mg-90-tabl.html</t>
  </si>
  <si>
    <t>Rehmania (Cooked), Lycium Chin. Fructus, Tangkuei, Drynaria, Dipsacus, Tu Huo, Chin-Chiu, Cinnamon Twig, Siler, Acanthopanax, Loranthus, Achyranthus, Cinnamon Bark, Astragalus Root, Codonopsis, Hoelen, Licorice Baked, Binder.</t>
  </si>
  <si>
    <t>Inconti Stop</t>
  </si>
  <si>
    <t>Incoti Stop</t>
  </si>
  <si>
    <t>https://www.sensipharm.eu/inconti-stop-250-mg-90-tabl.html</t>
  </si>
  <si>
    <t>Alpina fruit, Cuscuta, Dioscorea, Lindera, Rubus, Schisandra, Cornus, Dragon bone, Astragalus, Psoalea en binder.</t>
  </si>
  <si>
    <t>Multicat Tabletten</t>
  </si>
  <si>
    <t>Aptus</t>
  </si>
  <si>
    <t>https://www.tinybuddy.de/products/aptus-multicat-tabletten</t>
  </si>
  <si>
    <t>Calciumcarbonat, Futterhefe, Vitamin-/Spurenelement-/Aminosäuremischung, Aromen und Hilfsstoffe.</t>
  </si>
  <si>
    <t>Recovery Booster</t>
  </si>
  <si>
    <t>https://www.tinybuddy.at/products/recovery-booster-cat?source=googleps&amp;utm_source=google&amp;utm_medium=cpc&amp;utm_campaign=at_pmax_general&amp;gad_source=1&amp;gclid=Cj0KCQiAoae5BhCNARIsADVLzZcMWCjxqJJeU1HftL4Bf1Ja3PDejp34yP8Xx4nO9jqBDNiLjXgWLCUaAnviEALw_wcB</t>
  </si>
  <si>
    <t>Tierisches Fett (Geflügel), Milchpulver (Ziege), Dextrose (D-Glucose), hydrolysiertes Kollagen (Schwein), Glycerinmonostearat.</t>
  </si>
  <si>
    <t>Apto Flex</t>
  </si>
  <si>
    <t>https://www.medpets.at/aptus-apto-flex-losung</t>
  </si>
  <si>
    <t>Kollagen 10,2% (davon Kollagen Typ II 0,2%), Glukosesirup, Sorbitol, Glucosamin HCl 3%, Hühnereiweiß, hydrolysiert 3%, Glycerin, Chondroitinsulfat 1,3%, Methylsulfonylmethan (MSM) 1%, Fischöl 0,4%, Karamellzucker, Hyaluronsäure 0,14%</t>
  </si>
  <si>
    <t>Relax Solution</t>
  </si>
  <si>
    <t>https://www.petissimo.at/hund/nahrungserganzungsmittel/nervensystem-stressabbau/aptus-relax-solution-beruhigungslosung-fur-hunde-und-katzen.html</t>
  </si>
  <si>
    <t>Fischprotein, hydrolysiert (Peptidyss®*) (6,8 %), Natriumpyrophosphat, inaktivierte Hefe, Kasein (2,0 %), Zuckerester von Speisefettsäuren, Lupinenmehl, Butter und Butterprodukte,</t>
  </si>
  <si>
    <t>B-Vit Complex</t>
  </si>
  <si>
    <t>cp pharma</t>
  </si>
  <si>
    <t>Hefen, Geflügelleber (hydrolysiert), Kartoffelstärke (aufgeschlossen), Dinatriumdihydrogendiphosphat, Magnesiumstearat, Sonnenblumenöl</t>
  </si>
  <si>
    <t>https://www.cp-pharma.de/media/76/b5/4a/1693500682/Katalog-B-Vit-complex-Tabletten.pdf</t>
  </si>
  <si>
    <t>Relaxan</t>
  </si>
  <si>
    <t>https://www.cp-pharma.de/media/bb/17/7f/1693501290/Katalog-Relaxan.pdf</t>
  </si>
  <si>
    <t>Calciumcarbonat, Magnesiumcarbonat, Magnesiumstearat, Magnesiumsulfat-Heptahydrat, hydrolysiertes Pflanzenprotein (Soja, Mais), Rapsöl, Natriumchlorid</t>
  </si>
  <si>
    <t>Urocid Paste</t>
  </si>
  <si>
    <t>https://www.cp-pharma.de/media/5a/51/62/1693501885/Katalog-Urocid-Paste.pdf</t>
  </si>
  <si>
    <t>Malz, Glycerin, Cranberry (Vaccinium Macrocarpon, 25.000 mg/kg), hydrolysiertes Pflanzenprotein (Soja, Mais), Rapsöl, Natriumchlorid</t>
  </si>
  <si>
    <t>Laxativ</t>
  </si>
  <si>
    <t>https://www.cp-pharma.de/media/48/ff/98/1653388917/Katalog-Laxativ.pdf</t>
  </si>
  <si>
    <t>Malzsirup, Öle und Fette, Glycerin, hydrolysiertes Pflanzenprotein (Soja, Mais), Rapsöl, Natriumchlorid</t>
  </si>
  <si>
    <t>EFA Öl</t>
  </si>
  <si>
    <t>EFA Omega</t>
  </si>
  <si>
    <t>https://www.cp-pharma.de/media/48/22/b9/1693500683/Katalog-EFA-Omega.pdf</t>
  </si>
  <si>
    <t>Sonnenblumenöl, Fischöl, Borretschsamenöl</t>
  </si>
  <si>
    <t>Synoquin EFA Katze</t>
  </si>
  <si>
    <t>VetPlus</t>
  </si>
  <si>
    <t>https://www.vetplusglobal.com/de/products/synoquin-efa-cat/</t>
  </si>
  <si>
    <t>Glucosamin HCL,  Natrium-Chondroitin-Sulfat, Braunes Reismehl, Dexahan</t>
  </si>
  <si>
    <t>Coatex EFA</t>
  </si>
  <si>
    <t>https://www.vetplusglobal.com/de/products/coatex-efa-cat/</t>
  </si>
  <si>
    <t>Coatex</t>
  </si>
  <si>
    <t>Linolensäure (LA), Gamma-Linolensäure, Eicosapentaensäure</t>
  </si>
  <si>
    <t>Fibor</t>
  </si>
  <si>
    <t>https://www.vetplusglobal.com/de/products/fibor/</t>
  </si>
  <si>
    <t>Flohsamenschalen, Zuckerrübenfasern, grobe Weizenkleie, Inulin, Beta-Glucane, Mannan-Oligosaccharide, Kiwipulver, Aroma, Natriumchlorid</t>
  </si>
  <si>
    <t>Catney One</t>
  </si>
  <si>
    <t>file:///C:/Users/pelzm/Downloads/CatneyOne_GI.pdf</t>
  </si>
  <si>
    <t>Maltodextrine (aus Kartoffeln und Mais gewonnen)</t>
  </si>
  <si>
    <t>Cobalaplex</t>
  </si>
  <si>
    <t>https://www.dechra.at/produkte/at/katze/futtermittel/cobalaplex</t>
  </si>
  <si>
    <t>Fructooligosaccharide (Preplex® Präbiotikum) [39,5%], Magnesiumstearat</t>
  </si>
  <si>
    <t>Enteropro</t>
  </si>
  <si>
    <t>https://www.dechra.at/produkte/at/katze/futtermittel/enteropro</t>
  </si>
  <si>
    <t>Flohsamenschalen 80 %, Apfeltrester 10 %, Zitrustrester 10 %</t>
  </si>
  <si>
    <t>Feliconcept neo</t>
  </si>
  <si>
    <t>https://www.dechra.at/produkte/at/katze/futtermittel/feliconcept-neo</t>
  </si>
  <si>
    <t>Rapsöl, Rinderprotein (getrocknet), Gelatinehydrolysat, Hyaluronsäure (0,2 %)</t>
  </si>
  <si>
    <t>Felimalt</t>
  </si>
  <si>
    <t>Pflanzliche Nebenprodukte (Malz 45,5 %), Öle und Fette, Apfelcellulose 8 %.</t>
  </si>
  <si>
    <t>https://www.dechra.at/produkte/at/katze/futtermittel/felimalt</t>
  </si>
  <si>
    <t>Kalium-Glukonat Albrecht</t>
  </si>
  <si>
    <t>https://www.dechra.at/produkte/at/katze/futtermittel/kalium-glukonat</t>
  </si>
  <si>
    <t>50 % Kalium-Glukonat, Weizen, Mais, Geflügelfleisch, Griebenmehl, Geflügelfett, Geflügelleber (hydrolisiert), Dicalciumphosphat, Rübenschnitzel, Natriumchlorid</t>
  </si>
  <si>
    <t>L-Lysin Albrecht</t>
  </si>
  <si>
    <t>https://www.dechra.at/produkte/at/katze/futtermittel/l-lysin</t>
  </si>
  <si>
    <t>Weizen, Mais, Geflügelfleisch, Griebenmehl, Geflügelfett, Geflügelleber (hydrolisiert), Dicalciumphosphat, Rübenschnitzel, Natriumchlorid.</t>
  </si>
  <si>
    <t>Pro-Kolin Advanced</t>
  </si>
  <si>
    <t>Ig-Pro DC</t>
  </si>
  <si>
    <t>https://www.dechra.at/produkte/at/katze/futtermittel/pro-kolin-advanced</t>
  </si>
  <si>
    <t>Sojaöl, Psylliumschale, Pektin, Preplex® -Präbiotikum (Fructo-Oligosaccharid), Beta-Glucane, Dextrose.</t>
  </si>
  <si>
    <t>Redonyl Ultra</t>
  </si>
  <si>
    <t>Redonyl Ultra 50 mg</t>
  </si>
  <si>
    <t>https://www.dechra.at/produkte/at/katze/futtermittel/redonyl</t>
  </si>
  <si>
    <t>Öle und Fette, Fleisch und tierische Nebenerzeugnisse, Palmitoylethanolamid (7,53 %)</t>
  </si>
  <si>
    <t>VMP Tabletten</t>
  </si>
  <si>
    <t>https://www.vetena.de/50-Tabletten-VMP</t>
  </si>
  <si>
    <t>Hefe/Hefeextrakt, Kalziumhydrogenphosphat, Magnesiumoxid, Laktose, Fleischnebenprodukte</t>
  </si>
  <si>
    <t>Enterocon Forte</t>
  </si>
  <si>
    <t>WDT</t>
  </si>
  <si>
    <t>https://www.vetena.de/WDT-Enteroconpulver</t>
  </si>
  <si>
    <t>Leonardit (Huminsäuren WH67) 61,3 %, Eichenrinde 21,0 %, Flohsamenschalen 10,5 %, Bananenpulver 5,3 %, Lignocellulose, Fettsäuren (Capryl-, Caprinsäure, mit Glycerin verestert), Glycerin (roh)</t>
  </si>
  <si>
    <t>Pulmostat akut</t>
  </si>
  <si>
    <t>https://www.vetena.de/Virbac-Pulmostat-akut</t>
  </si>
  <si>
    <t>Zuckerrübensirup, Spitzwegerich, Brunnenkresse, Isländisch Moos, Quebrachorinde und Efeublätter getrocknet und gemahlen je 0,1 %.</t>
  </si>
  <si>
    <t>Megaderm</t>
  </si>
  <si>
    <t>https://www.vetena.de/Virbac-Megaderm</t>
  </si>
  <si>
    <t>Sonnenblumenöl, Fischöl, Nachtkerzenöl.</t>
  </si>
  <si>
    <t>Feluro</t>
  </si>
  <si>
    <t>https://www.vetena.de/Virbac-Feluro-Katze</t>
  </si>
  <si>
    <t>Raffiniertes Pflanzenöl (Oliven- und Kokosöl), N-Acetyl-D-Glucosamin 6,28 %, Derivate pflanzlichen Ursprungs, Gamma-Cyclodextrin, rohes Lecithin, getrocknet Grünteekonzentrat* (min 1,88 %), Glycerolmonostearat, Hefen, Maltodextrin, Hibiskus-Pulver konzentriert in Polyphenolen (mind. 0,46 %), Zucker, Mineralstoffe</t>
  </si>
  <si>
    <t>Anxitane S</t>
  </si>
  <si>
    <t>https://www.vetena.de/Virbac-Anxitane-Hund-Katze</t>
  </si>
  <si>
    <t>Gamma-Cyclodextrin, getrocknetes Grünteekonzentrat (  reichhaltige L-Theanin-Quelle - mind. 22,8 %), Maltodextrin, Fischnebenerzeugnisse, Mineralstoffe, Hefen, Magnesiumstearat, Zucker.</t>
  </si>
  <si>
    <t>Fortiflex</t>
  </si>
  <si>
    <t>Fortiflex 225</t>
  </si>
  <si>
    <t>https://www.vetena.de/Virbac-Fortiflex-Hund-Katze</t>
  </si>
  <si>
    <t>Zucker, Chitosan (22,7 %), Chondroitinsulfat (22,7 %), Fleisch und tierische Nebenerzeugnisse (Geflügel), Hefen, Magnesiumstearat, Mineralstoffe.</t>
  </si>
  <si>
    <t>OrthoHyl Miekaus</t>
  </si>
  <si>
    <t>Miekaus Vifelo OrthoHyl</t>
  </si>
  <si>
    <t>VetVital</t>
  </si>
  <si>
    <t>https://www.vetena.de/60-Miekaus-Vifelo-OrthoHyl</t>
  </si>
  <si>
    <t>Hochmolekulare Hyaluronsäure, Chondroitinsulfat, Glucosamin, Schweineleber, Maisstärke, Glyzerin, Reiskleie, Calciumcarbonat, Hefeextrakt, Rapsöl, Kaliumsorbat, Calciumpropionat</t>
  </si>
  <si>
    <t>Vifelo Support Life Miekaus</t>
  </si>
  <si>
    <t>https://www.vetena.de/VetVital-Vifelo-Support-Life-Miekaus</t>
  </si>
  <si>
    <t>Brassica Pflanze getrocknet (Sulforaphan), Katzenkralle gemahlen, Mariendistelfrüchte gemahlen, Taigawurzel-Pulver, Curcuma gemahlen, Maisstärke, Sorbitpulver, Glyzerin, Reiskleie, Calciumcarbonat, Hefeextrakt, Rapsöl, Kaliumsorbat, Calciumpropionat</t>
  </si>
  <si>
    <t>Alphazium TT</t>
  </si>
  <si>
    <t>TVM</t>
  </si>
  <si>
    <t>https://www.vetena.de/TVM-Alphazium-TT</t>
  </si>
  <si>
    <t>Geflügelnebenerzeugnisse, Molkenprotein (Alpha-Lactalbumin) (21 %), Glycerin, Magnesiumglycerophosphat (15 %), Hefe, raffiniertes Pflanzenöl (Palm), Zucker, Mineralstoffe.</t>
  </si>
  <si>
    <t>Carbodote liquid für Heimtiere</t>
  </si>
  <si>
    <t>https://ch.virbac.com/products/nahrungs-erganzung/carbodote---trinklosung-mit-pfla</t>
  </si>
  <si>
    <t>pflanzliche Kohle, Glycerin</t>
  </si>
  <si>
    <t>Carbodote repeat für  Heimtiere</t>
  </si>
  <si>
    <t>https://www.vetena.de/Carbodote-Repeat-Kleintiere</t>
  </si>
  <si>
    <t>Pflanzliche Kohle 24 %, Glycerin</t>
  </si>
  <si>
    <t>Optima Pet Milk</t>
  </si>
  <si>
    <t>https://www.vetena.de/TVM-Optima-Pet-Milk</t>
  </si>
  <si>
    <t>Magermilchpulver, Pflanzliche Öle (davon Leinsamen), Milcheiweißpulver, Molkeneiweißpulver, Molke, Trockenalgen 0,3 % (Schizochytrium sp.), Natriumchlorid, Calciumcarbonat</t>
  </si>
  <si>
    <t>Anti Struvite U A S</t>
  </si>
  <si>
    <t>Trovet</t>
  </si>
  <si>
    <t>https://www.vetena.de/30-Tabletten-Anti-Struvite-UAS</t>
  </si>
  <si>
    <t>DL-Methionin, Zellulose, Hefeextrakt (hydrolysiert), Natrium-Stärke-Glykolat, Magnesiumstearat, Kieselerde (Siliziumdioxid).</t>
  </si>
  <si>
    <t>Balance VMS</t>
  </si>
  <si>
    <t>https://www.vetena.de/250-g-Balance-VMS</t>
  </si>
  <si>
    <t>Kalziumkarbonat, Monokalziumphosphat, Vitamine und Spurenelemente, Natriumchlorid, Magnesiumoxid, Maisöl</t>
  </si>
  <si>
    <t>Intestinal Support FBS</t>
  </si>
  <si>
    <t>Intestinal Support VBS</t>
  </si>
  <si>
    <t>https://www.vetena.de/Trovet-Intestinal-Support-FBS</t>
  </si>
  <si>
    <t>Fruktooligosaccharide (FOS), Flohsamen, Betonit, Mannan-Oligosaccharide(MOS), Beta-Glucane</t>
  </si>
  <si>
    <t>Mobility MJS für Hunde und Katzen</t>
  </si>
  <si>
    <t>https://www.vetena.de/Trovet-Mobility-MJS</t>
  </si>
  <si>
    <t>Grünlippmuschel, Abalone, Fisch (Knorpel)</t>
  </si>
  <si>
    <t>Mobility MJS</t>
  </si>
  <si>
    <t>Lysimun Katze</t>
  </si>
  <si>
    <t>Serumwerk Bernburg</t>
  </si>
  <si>
    <t>https://www.vetena.de/Lysimun-Katzen</t>
  </si>
  <si>
    <t>Fruktose, Hefen (1,3 / 1,6 ß-Glucane), Öle und Fette, Milch- und Molkereierzeugnisse (Lactoferrin), Vitamine</t>
  </si>
  <si>
    <t>Sawavet</t>
  </si>
  <si>
    <t>https://www.vetena.de/SAWApet-MSM-Tiere</t>
  </si>
  <si>
    <t>100 % Methylsulfonylmethan</t>
  </si>
  <si>
    <t>SAWApet Gelenk</t>
  </si>
  <si>
    <t>SAWApet</t>
  </si>
  <si>
    <t>https://www.vetena.de/SAWApet-Gelenk-Tiere</t>
  </si>
  <si>
    <t>Glucosamin HCL: 60% Chondroitinsulfat: 40%</t>
  </si>
  <si>
    <t>https://sawapet.com/produkt/sawapet-premium-leinoel/</t>
  </si>
  <si>
    <t>https://sawapet.com/produkt/sawapet-hanfoel/</t>
  </si>
  <si>
    <t>Leindotteröl</t>
  </si>
  <si>
    <t>https://sawapet.com/produkt/sawapet-leindotteroel/#tab-id-4</t>
  </si>
  <si>
    <t>Leindotteröl (Camelina sativa)</t>
  </si>
  <si>
    <t>https://sawapet.com/produkt/sawapet-kokosoel/</t>
  </si>
  <si>
    <t>100 % Kokosöl</t>
  </si>
  <si>
    <t>https://sawapet.com/produkt/sawapet-bio-mariendisteloel/</t>
  </si>
  <si>
    <t>100 % Mariendistelöl</t>
  </si>
  <si>
    <t>REBOPulvmoVet für Hunde und Katzen</t>
  </si>
  <si>
    <t>reboVet</t>
  </si>
  <si>
    <t>https://www.vetena.de/REBOPulmoVet-Hund-Katze</t>
  </si>
  <si>
    <t>Zuckerrübensirup, je 0,5 % Kräuterauszüge aus Spitzwegerich geschnitten, Brunnenkresse geschnitten, Isländisch Moos geschnitten, Quebrachorinde geschnitten; echte Kamillenblüten, Efeublätter geschnitten, Acerolasaft 0,1 %</t>
  </si>
  <si>
    <t>REBOPulmoVet</t>
  </si>
  <si>
    <t>reboVet EFAPro für Hunde und Katzen</t>
  </si>
  <si>
    <t>https://www.vetena.de/ReboPharm-EFAPro</t>
  </si>
  <si>
    <t>Pflanzen-, Lachs-, Hanf-, Nachtkerzen- und Schwarzkümmelöl</t>
  </si>
  <si>
    <t>VISOGuard</t>
  </si>
  <si>
    <t>https://www.vetena.de/ReboTabs-VISOGuard-Hund-Katze</t>
  </si>
  <si>
    <t>Lutein, Zeaxanthin, Vitamin E-Acetat, Vitamin C, Selenhefe, Zinkgluconat</t>
  </si>
  <si>
    <t>ReboTabs VMR</t>
  </si>
  <si>
    <t>ReboTabs VMR für Hunde und Katzen</t>
  </si>
  <si>
    <t>https://www.vetena.de/ReboTabs-VMR-Hund-Katze</t>
  </si>
  <si>
    <t>Cellulose, Sojaproteinisolat, Bierhefe (inaktiv), Molke, Natriumchlorid, Magnesiumoxid, Di-Calcium-Phosphat, Calcium Carbonat (Eierschale), Rapsöl (gehärtet), Curcuma (getrocknet, gemahlen)</t>
  </si>
  <si>
    <t>ReboTabs CARDIOPro für Hunde und Katzen</t>
  </si>
  <si>
    <t>Cellulose, Maltodextrin, Rapsöl (gehärtet), Weißdornblatt (getrocknet, gemahlen)</t>
  </si>
  <si>
    <t>https://www.vetena.de/ReboTabs-CARDIOPro</t>
  </si>
  <si>
    <t xml:space="preserve">reboVet ReboDiarFin </t>
  </si>
  <si>
    <t>reboVet ReboDiarFin für Hunde und Katzen</t>
  </si>
  <si>
    <t>https://www.vetena.de/ReboDiarFin-Hund-Katze</t>
  </si>
  <si>
    <t>Rapsöl, Fructo-Oligosaccharide, Mannan-Oligosaccharide (Trockenhefe von Saccharomyces cerevisae), Pektin, Glutaminpeptide, Bratenaroma (auf Basis von Saccharomyces cerevisae)</t>
  </si>
  <si>
    <t>ReboTabs DiAssist cat für Katzen</t>
  </si>
  <si>
    <t>https://www.vetena.de/ReboTabs-DiAssist-cat-Katze</t>
  </si>
  <si>
    <t>Fleisch und tierische Nebenerzeugnisse, Milch und Molkereierzeugnisse, 12,5 % hydrolysiertes Molkenproteinkonzentrat (Pep2Dia®), Hefen, Reismehl</t>
  </si>
  <si>
    <t>ReboTabs ChondroFelin für Katzen</t>
  </si>
  <si>
    <t>https://www.vetena.de/ReboTabs-ChondroFelin-Katze</t>
  </si>
  <si>
    <t>Milch und Molkereierzeugnisse, Fleisch und tierische Nebenerzeugnisse, Hefen, Chondroitinsulfat, Methylsulfonylmethan, Kollagenhydrolysat von Schweinen, Muschelfleischmehl (Grünlippmuschel), Lachsöl, Eier und Eierzeugnisse</t>
  </si>
  <si>
    <t>ReboTabs ChondroFelin</t>
  </si>
  <si>
    <t>ReboTabs UroFelin</t>
  </si>
  <si>
    <t>https://www.vetena.de/ReboTabs-UroFelin-Katze</t>
  </si>
  <si>
    <t>Milch und Molkereierzeugnisse, Fleisch und tierische Nebenerzeugnisse, Hefen, Glucosaminsulfat, Kapuzinerkresse, Methylsulfonylmethan, Goldrute, Muschelfleischmehl (Grünlippmuschel), Schachtelhalm, Hopfen, Fischöl, Eier und Eierzeugnisse</t>
  </si>
  <si>
    <t>ReboTabs COLOSTROGuard</t>
  </si>
  <si>
    <t>https://www.vetena.de/ReboTabs-COLOSTROGuard</t>
  </si>
  <si>
    <t>Colostrum 796,4 g (20 % IgG-Gehalt), Agaricus blazei Extrakt (Mandelpilz) 203,6 g</t>
  </si>
  <si>
    <t>LiquiPet cat für Katzen</t>
  </si>
  <si>
    <t>Glucose, Natriumchlorid, Hefe (inaktive Saccharomyces cerevisae) 1 %, Kaliumchlorid, Natriumbicarbonat, Fructo-Oligosaccharide Chicorée 0,4 %, Magnesiumchlorid, Calciumchlorid</t>
  </si>
  <si>
    <t>https://www.vetena.de/ReboPharm-LiquiPet-cat</t>
  </si>
  <si>
    <t>PantiVet für Hunde und Katzen</t>
  </si>
  <si>
    <t>https://www.vetena.de/reboVet-PantiVet-Hunde-Katzen</t>
  </si>
  <si>
    <t>Nebenerzeugnis aus der Feststofffermentation mittels Pilzen, Ananaspulver, Bananenpulver, Flohsamenschalen</t>
  </si>
  <si>
    <t>PantiVet</t>
  </si>
  <si>
    <t>ReboTabs TranquiloGuard für Hunde &amp; Katzen</t>
  </si>
  <si>
    <t>https://www.vetena.de/ReboTabs-TranquiloGuard-Hund-Katzen</t>
  </si>
  <si>
    <t>Fleisch und tierische Nebenerzeugnisse, Milch und Molkereierzeugnisse, Hefen, 7,50 % Milchprotein Hydrolysat (Lactium®), Reismehl, 2,00 % Magnesiumfumarat, Mineralstoffe.</t>
  </si>
  <si>
    <t>EM Vital</t>
  </si>
  <si>
    <t>Provicell</t>
  </si>
  <si>
    <t>https://www.provicell.com/em-vital-katzen-455</t>
  </si>
  <si>
    <t>Mischung aus fermentierten Einzelfuttermittel 85% (Zuckerrohrmelasse; Rohrzucker; Schwarzkümmelsamen; Traubenkern-Extrakt (OPC); Ling Zhi (Glänzender Lackporling)</t>
  </si>
  <si>
    <t>Zistrosen Tabs</t>
  </si>
  <si>
    <t>Zistrosen Tabs für Hunde und Katzen</t>
  </si>
  <si>
    <t>nomsplus</t>
  </si>
  <si>
    <t>https://www.nomsplus.de/collections/katzen-z-produkte/products/zistrosentabs</t>
  </si>
  <si>
    <t>Bierhefe (inaktive Saccharomyces Cerevisae), Zistrosenkraut gemahlen 10%</t>
  </si>
  <si>
    <t>Wohlfühlpaste für Katzens</t>
  </si>
  <si>
    <t>https://www.vetena.de/nomsplus-Wohlfuehlpaste-Hunde</t>
  </si>
  <si>
    <t>Pflanzliche Nebenerzeugnisse (Malz min. 66%), Öle und Fette, Hopfen, Hefe, Hanf (0,5%)</t>
  </si>
  <si>
    <t>Wohlfühlpaste für Katzen</t>
  </si>
  <si>
    <t>Wohlfühlmix für Hunde und Katzen</t>
  </si>
  <si>
    <t>https://www.vetena.de/nomsplus-Wohlfuehlmix-Hunde-Katzen</t>
  </si>
  <si>
    <t>Hefe (inaktive Saccharomyces Cerevisae), Magnesiumoxid, Passionsblumenkraut gemahlen 10 %, Baldrianwurzel gemahlen 10%, Johanniskraut gemahlen 8 %, Magnesiumacetat Anhydrat, Mariendistelöl 2 %</t>
  </si>
  <si>
    <t>Wohlfühltabs</t>
  </si>
  <si>
    <t>https://www.vetena.de/nomsplus-Wohlfuehltabs-Hund-Katze</t>
  </si>
  <si>
    <t>Hefe (inaktive Saccharomyces Cerevisae), Magnesiumoxid, Passionsblumenkraut gemahlen 2,9 %, Baldrianwurzel gemahlen, Johanniskraut gemahlen, Magnesiumstearat</t>
  </si>
  <si>
    <t>Gelenkmix</t>
  </si>
  <si>
    <t>Bierhefe (Saccharomyces Cerevisiae), Glucosamin 8,0%, Kurkumawurzel gemahlen 8,0%, Teufelskralle gemahlen 6,0%, Methylsulfonylmethan (MSM), Kohlensaurer Algenkalk, Gerstengras gemahlen 4,0%, Hyaluronsäure 1,0%, Hanföl</t>
  </si>
  <si>
    <t>https://www.vetena.de/nomsplus-Gelenkmix-Hunde-Katzen</t>
  </si>
  <si>
    <r>
      <t> </t>
    </r>
    <r>
      <rPr>
        <sz val="7"/>
        <color rgb="FF808093"/>
        <rFont val="Poppins"/>
      </rPr>
      <t>100% reines, kaltgepresstes Hanföl</t>
    </r>
  </si>
  <si>
    <t>https://www.nomsplus.de/collections/fur-katzen/products/kaltgepresstes-hanfol</t>
  </si>
  <si>
    <t>DiaDog N Cat</t>
  </si>
  <si>
    <t>Livisto</t>
  </si>
  <si>
    <t>Pflanzliche Nebenerzeugnisse (Obsttrester 20 %), Fleisch und tierische Nebenerzeugnisse, Milch- und Molkereierzeugnisse, Zucker (Traubenzucker 9 %), Mineralstoffe, Hefen, Flohsamenschalen (1,5 %), Eier- und Eiererzeugnisse</t>
  </si>
  <si>
    <t>https://www.vetena.de/DiaDog-N-Cat-60x5-g</t>
  </si>
  <si>
    <t>Epato Plus</t>
  </si>
  <si>
    <t>Bierhefe, Laktose, Maltodextrin, hydrolysiertes Protein tierischen Ursprungs (Schweineleber), Saccharose, Magnesiumstearat, FOS</t>
  </si>
  <si>
    <t>https://www.vetena.de/ICF-Epato-plus-Hund-Katzen</t>
  </si>
  <si>
    <t>Hyalutidin DC</t>
  </si>
  <si>
    <t>https://www.vetena.de/Livisto-Hyalutidin-DC-Hund-Katze</t>
  </si>
  <si>
    <t>Fructose, Glucosesirup, Hyaluronsäure-Chondroitinsulfat-Komplex 25.000 mg/l</t>
  </si>
  <si>
    <t>DiReNe Pasta</t>
  </si>
  <si>
    <t>https://www.vetena.de/15-ml-DiReNe-Pasta</t>
  </si>
  <si>
    <t>Maltodextrin, Fructooligosaccharide (FOS), Mineralstoffe, Kaliumcitrat, Chitosamin (aus tierischem Gewebe) 4 %, Trockenalgen gemahlen (Chlorella vulgaris), Erzeugnisse aus der Verarbeitung von frischem Obst und Gemüse (Cranberry) 1,6 %, Erzeugnisse aus der Verarbeitung von Kräutern (Lespedeza capitata), Magnesiumstearat, Mohave-Palmlilie (Yucca schidigera), Fischöl</t>
  </si>
  <si>
    <t>DiReNe Tabletten</t>
  </si>
  <si>
    <t>https://www.vetena.de/32-Tabletten-DiReNe</t>
  </si>
  <si>
    <t>Livisto Agility Pallets</t>
  </si>
  <si>
    <t>Agility Pallets</t>
  </si>
  <si>
    <t>https://www.vetena.de/Livisto-AGILITY-Pellets</t>
  </si>
  <si>
    <t>Getreide, Fleisch- und Fleischnebenprodukte, pflanzliche Nebenerzeugnisse (Baumrinde gemahlen), Muschelfleisch getrocknet, Presshilfsstoffe</t>
  </si>
  <si>
    <t>ZooLac Pro Paste</t>
  </si>
  <si>
    <t>https://www.vetena.de/Livisto-ZooLac-PROPASTE-Tiere</t>
  </si>
  <si>
    <t>raffinierte pflanzliche Fette (Raps) 75 %, Dextrose 10 %, Vinasse 8 %, Rohlecithine 2,6 %</t>
  </si>
  <si>
    <t>LinkSkin Tabletten</t>
  </si>
  <si>
    <t>https://www.vetena.de/32-Tabletten-LinkSkin</t>
  </si>
  <si>
    <t>Mineralstoffe, hydrolysierte Lignocellulose (polyphenolreich), Hefe, getrocknetes tierisches Protein (Schwein), Maltodextrin, Erzeugnis aus Arten von Lactobacillus rhamnosus (SGL06; inaktiviert), Magnesiumstearat, Gurkentrockenpulver, Nachtkerzenöl, -Kasein, Erzeugnis aus Arten von Lactobacillus reuteri (SGLO1; inaktiviert), Kolostrum, ultrafiltrierte tierische Proteine (ß-Defensine)</t>
  </si>
  <si>
    <t>ZooLac Multi Paste</t>
  </si>
  <si>
    <t>https://www.vetena.de/Livisto-ZooLac-MULTI-PASTE-Tiere</t>
  </si>
  <si>
    <t>raffinierte pflanzliche Fette (Raps) 78 %, Dextrose 14 %, Vinasse 8 %, Rohlecithine 2 %, Hefeerzeugnisse (Saccharomyces cerevisiae) 1,4 %</t>
  </si>
  <si>
    <t>DermaFit Forte</t>
  </si>
  <si>
    <t>https://www.vetena.de/Livisto-Dermafit-forte-Hund-Katze</t>
  </si>
  <si>
    <t>Sojaöl, Fischöl, Rapsöl, Sonnenblumenöl, Distelöl, Maiskeimöl</t>
  </si>
  <si>
    <t>Dental Care Zahnpflegekomplex</t>
  </si>
  <si>
    <t>Latanis</t>
  </si>
  <si>
    <t>Seealgenmischung, Kräutermischung, Pflanzenfasern, Kieselguhr</t>
  </si>
  <si>
    <t>https://latanis.de/xk16vet-natuerliches-zahnreinigungspulver-gebisspflegemittel-ergaenzungsfutter-125g</t>
  </si>
  <si>
    <t>Gelassenheits-Komplex</t>
  </si>
  <si>
    <t>Gelassenheits-Komplex Natural Care</t>
  </si>
  <si>
    <t>https://latanis.de/gk16vet-natuerlicher-gelassenheitskomplex-ergaenzungsfuttermittel-250ml</t>
  </si>
  <si>
    <t>EM aktiviertes Wasser, Obstessig, 13 Kräuterauszüge mit Baldrian, Melisse, Thymian, Echter Lavendel, Kamille, Petersilie, Sandthymian, Eisenkraut, Goldrute, Echtes Mädesüß und andere, Saccharose.</t>
  </si>
  <si>
    <t>Mobilitätskomplex</t>
  </si>
  <si>
    <t>https://latanis.de/mk16vet-natuerlicher-mobilitaetskomplex-ergaenzungsfuttermittel-250ml</t>
  </si>
  <si>
    <t>EM aktiviertes Wasser, Obstessig, 17 Kräuterauszüge mit Teufelskralle, Beinwell, Ginkgo, Salbei, Erd Burzeldorn, Mariendistel, Löwenzahn, Brennnessel, Gemeiner Odermennig, Schachtelhalm, Weißdorn, Mauretanische Malve, Ringelblume und andere, Saccharose.</t>
  </si>
  <si>
    <t>Mobilitäts-Komplex</t>
  </si>
  <si>
    <t xml:space="preserve">Multi Mineral Komplex </t>
  </si>
  <si>
    <t>https://latanis.de/mm16vet-natuerlicher-multimineralkomplex-vitalstoffe-ergaenzungsfuttermittel-125g</t>
  </si>
  <si>
    <t> Seealgenmischung mit Algenkalk und Spirulina, Kräutermischung mit Goldrute, Löwenzahn, Brennnessel, Birke, Kamille, Labkraut, Leinsamen, Knoblauch, Wilde Malve und andere, Diatomeenerde, Saccharose.</t>
  </si>
  <si>
    <t>Multi Vital Komplex</t>
  </si>
  <si>
    <t>Natural Care Multi Vital Komplex</t>
  </si>
  <si>
    <t>Naturall Care Multi Mineral Komplex</t>
  </si>
  <si>
    <t>https://latanis.de/mm16vet-natuerlicher-multimineralkomplex-vitalstoffe-ergaenzungsfuttermittel-125g_1</t>
  </si>
  <si>
    <t>Kräutermischung mit Labkraut, Brennnessel, Wermut, Eisenkraut, Mariendistel, Salbei, Löwenzahn, Thymian, Goldrute, Wilde Malve, Ringelblume und andere, 100% echte Bierhefe, Seealgenmischung mit Spirulina und Chlorella, Diatomeenerde, Saccharose.</t>
  </si>
  <si>
    <t>Entschlackungs Komplex</t>
  </si>
  <si>
    <t>Natural Care Entschlackungs Komplex</t>
  </si>
  <si>
    <r>
      <t> </t>
    </r>
    <r>
      <rPr>
        <sz val="7"/>
        <color rgb="FF333333"/>
        <rFont val="Open Sans"/>
        <family val="2"/>
      </rPr>
      <t>EM aktiviertes Wasser, Obstessig, 17 Kräuterauszüge mit Schachtelhalm, Goldrute, Mariendistel, Sonnenhut, Brennnessel, Schlüsselblume, Ringelblume, Labkraut, Schafgarbe, Pfefferminze, Kamille, Gemeines Süßholz, Löwenzahn, Ginkgo biloba und andere, Chlorella Alge, Saccharose.</t>
    </r>
  </si>
  <si>
    <t>https://latanis.de/ek16vet-natuerlicher-entschlackungskomplex-ergaenzungsfuttermittel-250ml</t>
  </si>
  <si>
    <t>https://www.vetena.de/HeilKraft-Kelp-Seealgenmehl</t>
  </si>
  <si>
    <t>100% Ascophyllum Nodosum</t>
  </si>
  <si>
    <t>Floratur Wildkraut</t>
  </si>
  <si>
    <t>https://www.vetena.de/HeilKraft-Floratur-Wildkraut</t>
  </si>
  <si>
    <t>Wasser, Extrakt aus Birkenblättern, Fenchel, Himbeerblätter, Schafgarbe, Quendel, Rosmarin, Pfefferminze, Eibischwurzel, Anis, Goldrute, Mariendistelsamen, Kümmel, Zuckerrohrmelasse</t>
  </si>
  <si>
    <t>feline vet Cystofer</t>
  </si>
  <si>
    <t>feline Vet Cystofer</t>
  </si>
  <si>
    <t>Feravet</t>
  </si>
  <si>
    <t>Fleisch und tierische Nebenerzeugnisse, Milch und Molkereierzeugnisse, Hefen, pflanzliche Nebenerzeugnisse, Goldrute (gemahlen), Kapuzinerkresse 2%, Muschelfleischmehl (getrocknet und gemahlen) 2 %, Eier und Eiererzeugnisse</t>
  </si>
  <si>
    <t>https://www.vetena.de/feline-vet-Cystofer-Katze</t>
  </si>
  <si>
    <t>Felimed Dolomicin</t>
  </si>
  <si>
    <t>https://www.vetena.de/felimed-Dolomicin-fuer-Katze</t>
  </si>
  <si>
    <t>Fleisch und tierische Nebenerzeugnisse, Milch und Molkereierzeugnisse, Hefen, 2 % Grünlippmuschelpulver, 2 % Kollagenhydrolysat von Schweinen, Mineralstoffe, Fisch und Fischnebenerzeugnisse, Eier und Eierzeugnisse</t>
  </si>
  <si>
    <t>Felimed Resistamin</t>
  </si>
  <si>
    <t>https://www.vetena.de/felimed-Resistamin-Katze</t>
  </si>
  <si>
    <t>Fleisch und tierische Nebenerzeugnisse, Milch und Molkereierzeugnisse, 8,8 % Hefen (beta-Glucane), 4 % Kolostrumpulver, 2 % Zichorien- Inulin, Mineralstoffe, Eier und Eierzeugnisse, Fisch und Fischnebenerzeugnisse</t>
  </si>
  <si>
    <t>Felimed Cystolamin</t>
  </si>
  <si>
    <t>https://www.vetena.de/42-Tabletten-felimed-Cystolamin</t>
  </si>
  <si>
    <t>Fleisch und tierische Nebenerzeugnisse, Milch und Molkereierzeugnisse, Hefen, Bärentraubenblätter, 2 %, Goldrute, 2 % Grünlippmuschelpulver, Mineralstoffe, 1 % Liebstöckel, 0,3 % Schachtelhalm, Hopfen, Eier und Eierzeugnisse, Fisch und Fischnebenerzeugnisse</t>
  </si>
  <si>
    <t>Felimed Intestifer</t>
  </si>
  <si>
    <t>https://www.vetena.de/felimed-Intestifer-Katze</t>
  </si>
  <si>
    <t>Fleisch und tierische Nebenerzeugnisse, Milch und Molkereierzeugnisse, Apfeltrester, 7,8 % Hefen, Mineralstoffe, Zitrustrester, Leinsaat, 3 % Natriumbicarbonat, 2 % Flohsamenschalen, Möhrentrester, Reismehl, Natriumchlorid, Apfelpektin, Kaliumchlorid, Kamillenblüten, 0,24 % Fenchel, Salbei, 0,24 % Bockshornkleesamen, Eibisch, 0,24 % Süßholzwurzel, Anis, 0,22 % Heidelbeeren, 0,22 % Brombeerblätter, Eier und Eierzeugnisse</t>
  </si>
  <si>
    <t>Felimed Nephricin</t>
  </si>
  <si>
    <t>https://www.vetena.de/felimed-Nephricin-Katze</t>
  </si>
  <si>
    <t>Fleisch und tierische Nebenerzeugnisse, Milch und Molkereierzeugnisse, Hefen, 6,5 % Calciumcarbonat, Weich- und Krebstiere, 2 % Natriumbicarbonat, Mineralstoffe, 1 % Rhabarberwurzel, Orthosiphon, Schisandra, Eier und Eierzeugnisse</t>
  </si>
  <si>
    <t>Felimed Dermasol</t>
  </si>
  <si>
    <t>https://www.vetena.de/felimed-Dermasol-Katze</t>
  </si>
  <si>
    <t>Fleisch und tierische Nebenerzeugnisse, Milch und Molkereierzeugnisse, Hefen, Seealge Ascophyllum, Mineralstoffe, Leinöl, 0,75 % Hirsesamen, Fisch und Fischnebenerzeugnisse, Eier und Eierzeugnisse</t>
  </si>
  <si>
    <t>Innereien, TNPs, Schlachtabfälle und Tiermehle</t>
  </si>
  <si>
    <t>Blutmehl</t>
  </si>
  <si>
    <t>Fleisch-, Fisch- und Algenprodukte</t>
  </si>
  <si>
    <t>Gemüse, Obst und Faserstoffe</t>
  </si>
  <si>
    <t>Ei- und Milchprodukte</t>
  </si>
  <si>
    <t>Getreide, Samen, Leguminosen und Kartoffel-Produkte</t>
  </si>
  <si>
    <t>Eierschalen, getrocknet</t>
  </si>
  <si>
    <t>Algen, getrocknet</t>
  </si>
  <si>
    <t>Lithothamnium</t>
  </si>
  <si>
    <t>Hefen, inaktiviert</t>
  </si>
  <si>
    <t>Blüten, getrocknet</t>
  </si>
  <si>
    <t>Buchweizenschälkleie</t>
  </si>
  <si>
    <t>Weichtiermehl</t>
  </si>
  <si>
    <t>Pulvercecllulose</t>
  </si>
  <si>
    <t>Spitzwegerich-Saat</t>
  </si>
  <si>
    <t>Hefe, inaktiviert</t>
  </si>
  <si>
    <t>Rinden</t>
  </si>
  <si>
    <t>Knoblauch, getrocknet</t>
  </si>
  <si>
    <t>Methylsulphonylmethan</t>
  </si>
  <si>
    <t>Topinambur</t>
  </si>
  <si>
    <t>Mehl aus marinem Zooplankton</t>
  </si>
  <si>
    <t>Kolostrum/Kolostrumpulver</t>
  </si>
  <si>
    <t>Knochenfuttermehl, entleimt</t>
  </si>
  <si>
    <t>Imkerei-Nebenerzeugnisse</t>
  </si>
  <si>
    <t>Fischmehl</t>
  </si>
  <si>
    <t>Erbsenmehl</t>
  </si>
  <si>
    <t>Karotten, getrocknet</t>
  </si>
  <si>
    <t>Kartoffelgranulat</t>
  </si>
  <si>
    <t>Rote Bete Pulver</t>
  </si>
  <si>
    <t>Spinat, trocken</t>
  </si>
  <si>
    <t>Pulvercellulose</t>
  </si>
  <si>
    <t xml:space="preserve">Kollagen  </t>
  </si>
  <si>
    <t>Hirse</t>
  </si>
  <si>
    <t>Luzernemehl</t>
  </si>
  <si>
    <t>Gerstenschalen</t>
  </si>
  <si>
    <t>Distelsaat</t>
  </si>
  <si>
    <t>Magnesiumoxid</t>
  </si>
  <si>
    <t>Zichorienpulver</t>
  </si>
  <si>
    <t>Hagebuttenmehl</t>
  </si>
  <si>
    <t>Eibischmehl</t>
  </si>
  <si>
    <t>Apfeltrester, getrocknet</t>
  </si>
  <si>
    <t>Lignocellulose</t>
  </si>
  <si>
    <t>Hydrolysiertes Tierprotein</t>
  </si>
  <si>
    <t>Kokos-Extraktionsschrot</t>
  </si>
  <si>
    <t>Buchweizenfuttermehl</t>
  </si>
  <si>
    <t>Kürbiskernsaat</t>
  </si>
  <si>
    <t>Erzeugnis aus der Verarbeitung von Kräutern</t>
  </si>
  <si>
    <t>Blätter, getrocknet</t>
  </si>
  <si>
    <t>Kokosextraktionsschrot</t>
  </si>
  <si>
    <t>Tierisches Nebenprodukt</t>
  </si>
  <si>
    <t>Vitamin-Spurenelement-Präparat</t>
  </si>
  <si>
    <t>Aufzuchtmilch/Katzenmilch</t>
  </si>
  <si>
    <t>GimCat Katzenpaste Relax</t>
  </si>
  <si>
    <t>Cosequin für Katzen</t>
  </si>
  <si>
    <t>Ecuphar</t>
  </si>
  <si>
    <t>https://www.vetena.de/45-Kapseln-Cosequin-Katze</t>
  </si>
  <si>
    <t>Glucosamin HCI* (35,7 %), Chondroitinsulfat* (28,6 %), Magnesiumstearat, Gelatine (Rind, Schwein)</t>
  </si>
  <si>
    <t>Orozyme Bucco-Fresh Dental Croq Hund und Katze</t>
  </si>
  <si>
    <t>https://www.vetena.de/60-g-Orozyme-Bucco-Fresh-Dental-Croq-Hund-Katze</t>
  </si>
  <si>
    <t>Alge Ascophyllum Nodosum D1070**, Weizen*, Mais*, Reis*, Gerste*, Weizenkleie*, Geflügelfett*, Tierprotein, hydrolysiert</t>
  </si>
  <si>
    <t>Oralade Advanced</t>
  </si>
  <si>
    <t>Oralade Advanced GI+ für Hunde und Katzen</t>
  </si>
  <si>
    <t>https://www.vetena.de/Oralade-GI-Support</t>
  </si>
  <si>
    <t>Gereinigtes Wasser, Dextrosemonohydrat, Hühnerleberhydrolysat, Natriumchlorid, Kaliumchlorid, Mononatriumphosphat, pflanzliche Öle und Fette, natürliches Aroma</t>
  </si>
  <si>
    <t>Protecdiar Paste</t>
  </si>
  <si>
    <t>15 ml Protecdiar Paste</t>
  </si>
  <si>
    <t>Dextrose (21,25 %), Glycerin, Johannisbrotschrot (getrocknet), Mannan-Oligosaccharide, Zichorien-Inulin, Sorbitol, NaCl, KCl, MgCl</t>
  </si>
  <si>
    <t>https://www.vetena.de/15-ml-Protecdiar-KH-Paste</t>
  </si>
  <si>
    <t>40 g Orozyme Bucco-Fresh PLAQUEOFF</t>
  </si>
  <si>
    <t>Algen, getrocknet (Ascophyllum Nodosum)</t>
  </si>
  <si>
    <t>https://www.vetena.de/40-g-Orozyme-Bucco-Fresh-PLAQUEOFF</t>
  </si>
  <si>
    <t>Oralade Advanced RF+</t>
  </si>
  <si>
    <t>Oralade Advanced RF+ für Katzen</t>
  </si>
  <si>
    <t>https://www.vetena.de/Oralade-RF-Support-Katze</t>
  </si>
  <si>
    <t>Gereinigtes Wasser, Hühnerleberhydrolysat, Dextrosemonohydrat, Natriumchlorid, Kaliumchlorid, natürliches Aroma, Mononatriumphosphat, pflanzliche Öle und Fette</t>
  </si>
  <si>
    <t>OmniPet Sekrolyt</t>
  </si>
  <si>
    <t>Omnipet Secrolyt für Hund und Katzen</t>
  </si>
  <si>
    <t>https://www.vetena.de/150-g-Pellets-OmniPet-Sekrolyt</t>
  </si>
  <si>
    <t>Getreide (Reis), Kartoffelflocken, Hefen, Saaten (Brennnessel, Brunnenkresse, Thymian, Fenchel, Schachtelhalm, Brokkolisprossen), Früchte, Zucker, Algen, Öle und Fette (Sojaöl), Mineralstoffe</t>
  </si>
  <si>
    <t>Synbiotic DC</t>
  </si>
  <si>
    <t>https://www.vetena.de/Synbiotic-DC-Hund</t>
  </si>
  <si>
    <t>40 % Fructooligosaccharide (=Preplex Präbiotikum), Magnesiumstearat.</t>
  </si>
  <si>
    <t>ArthroVet Plus</t>
  </si>
  <si>
    <t>ArthroVet Plus für Hunde und Katzen</t>
  </si>
  <si>
    <t>https://www.vetena.de/CP-Pharma-arthrovet-plus-Hunde-Katzen</t>
  </si>
  <si>
    <t>Milchzuckerpulver, Maisstärke, pflanzliche Nebenerzeugnisse (Brennnessel, Löwenzahn, Teufelskralle, Rosmarin), Muschelfleischmehl getrocknet</t>
  </si>
  <si>
    <t>DiarSanyl</t>
  </si>
  <si>
    <t>Ceva</t>
  </si>
  <si>
    <t>https://www.vetena.de/Ceva-Diarsanyl-Tiere</t>
  </si>
  <si>
    <t>Fructo-Oligosaccharide, Dextrose, Glycerol, Natriumchlorid, Magnesiumsalze organischer Säuren</t>
  </si>
  <si>
    <t>Agilium+</t>
  </si>
  <si>
    <t>Chondroitinsulfat (21,6%), Bierhefe, vorverkleisterte Stärke, Natriumhyaluronat (0.3 %), Magnesiumstearat</t>
  </si>
  <si>
    <t>https://www.ceva.de/Produkte/Produkte-fuer-Heimtiere/Agilium</t>
  </si>
  <si>
    <t>Fit-Barf Rinderfett für Hunde und Katzen</t>
  </si>
  <si>
    <t>100% reines Rinderfett</t>
  </si>
  <si>
    <t>https://www.vetena.de/500-ml-Fit-BARF-Rinderfett</t>
  </si>
  <si>
    <t>PropolisHerbal</t>
  </si>
  <si>
    <t>https://www.vetena.de/cdVet-PropolisHerbal</t>
  </si>
  <si>
    <t>Propolispulver, Sanddornbeeren, Spirulina, Taubnesselkraut, Bohnenhülsen, Schachtelhalmkraut, Brombeerblätter, Melissenblätter, Wasserdostkraut, Ginsengwurzel, Weinblätter, Eichenrinde, Weidenrinde, Kamillenblüten</t>
  </si>
  <si>
    <t>DarmAktiv</t>
  </si>
  <si>
    <t>https://www.vetena.de/5-L-DarmAktiv</t>
  </si>
  <si>
    <t>Brennnessel fermentiert, Thymian fermentiert, Pfefferminze fermentiert, Oregano fermentiert, Hibiskus fermentiert, Echinacea fermentiert, Bockshornkleesamen fermentiert, Schafgarbe fermentiert, Labkraut fermentiert, Wegwarte fermentiert</t>
  </si>
  <si>
    <t>Singulares Nachtkerzenöl</t>
  </si>
  <si>
    <t>100% reines Oenothera biennis oelum, kaltgepresst aus KbA</t>
  </si>
  <si>
    <t>https://www.vetena.de/cdVEt-Singulares-Bio-Nachtkerzenoel</t>
  </si>
  <si>
    <t>Singulares Kolostrum pur</t>
  </si>
  <si>
    <t>https://www.vetena.de/250-g-Singulares-Kolostrum-pur</t>
  </si>
  <si>
    <t>100% Rinderkolostrum, gefriergetrocknet</t>
  </si>
  <si>
    <t>Sacha Inchi Öl</t>
  </si>
  <si>
    <t>100% Sacha Inchi Öl</t>
  </si>
  <si>
    <t>https://www.vetena.de/100-ml-Singulares-Sacha-Inchi-Oel</t>
  </si>
  <si>
    <t>Bio Fell und Haut Vital Öl</t>
  </si>
  <si>
    <t>Bio-Hanföl, Bio-Nachtkerzenöl, Bio-Arganöl kaltgepresst aus KbA</t>
  </si>
  <si>
    <t>https://www.vetena.de/100-ml-Bio-Fell-Haut-Vital-Oel</t>
  </si>
  <si>
    <t>DarmRein Pulver</t>
  </si>
  <si>
    <t>https://www.vetena.de/180-g-DarmRein-Pulver</t>
  </si>
  <si>
    <t>Bierhefe, Weidenrinde, Ulmenrinde</t>
  </si>
  <si>
    <t>Fit-Barf DarmFlora Plus</t>
  </si>
  <si>
    <t>https://www.vetena.de/1-L-Fit-BARF-DarmFlora-Plus</t>
  </si>
  <si>
    <t>Pfefferminze fermentiert, Thymian fermentiert, Brennnessel fermentiert, Hibiskus fermentiert, Bockshornkleesamen fermentiert, Echinacea fermentiert, Oregano fermentiert, Wegwarte fermentiert, Schafgarbe fermentiert, Labkraut fermentiert</t>
  </si>
  <si>
    <t>Singulares Bio-Kokosöl</t>
  </si>
  <si>
    <t>100% Kokosnussöl</t>
  </si>
  <si>
    <t>https://www.vetena.de/200-ml-Singulares-Bio-Kokosoel</t>
  </si>
  <si>
    <t xml:space="preserve">ArthroGreen Classic </t>
  </si>
  <si>
    <t>ArthroGreen Classic Pulver</t>
  </si>
  <si>
    <t>0% neuseeländische grünlippige Zuchtmuschel, gefr. getr. Traubenkerne extrahiert, Ginkgo, Teufelskralle, Brennnessel, Ackerschachtelhalm, Sanddornbeeren, Spirulina</t>
  </si>
  <si>
    <t>https://www.vetena.de/2-kg-ArthroGreen-classic</t>
  </si>
  <si>
    <t>Fit-BARF Futter-Öl</t>
  </si>
  <si>
    <t>Leinöl, Nachtkerzenöl, Weizenkeimöl, Kürbiskernöl, Arganöl</t>
  </si>
  <si>
    <t>https://www.vetena.de/1-L-Fit-BARF-Futter-Oel</t>
  </si>
  <si>
    <t>ZytoVet forte</t>
  </si>
  <si>
    <t>https://www.vetena.de/1-kg-ZytoVet-forte</t>
  </si>
  <si>
    <t>Traubenkerne extrahiert, Algenkalk, Spirulina, Mumijo, Sanddorn</t>
  </si>
  <si>
    <t>Fit-BARF Gemüse</t>
  </si>
  <si>
    <t>Pastinake, Broccoli, Topinambur, Sellerie, Kürbis, Leinsamen, Rote Bete, Karotte, Ulmenrinde</t>
  </si>
  <si>
    <t>https://www.vetena.de/2-5-kg-Fit-Barf-Gemuese-TCVM</t>
  </si>
  <si>
    <t>Fit-BARF BM-Hefe</t>
  </si>
  <si>
    <t>https://www.vetena.de/600-g-Fit-BARF-BM-Hefe</t>
  </si>
  <si>
    <t>Malzkeime, Bierhefe</t>
  </si>
  <si>
    <t>Fit-BARF Eierschalenpulver</t>
  </si>
  <si>
    <t>100% Eierschalenpulver</t>
  </si>
  <si>
    <t>https://www.vetena.de/25-kg-Fit-BARF-Eierschalenpulver</t>
  </si>
  <si>
    <t>Fit-BARF Öl D3</t>
  </si>
  <si>
    <t>Hanföl, Dorschlebertran, Nachtkerzenöl</t>
  </si>
  <si>
    <t>https://www.vetena.de/500-ml-Fit-BARF-Oel-D3</t>
  </si>
  <si>
    <t>Toxisan</t>
  </si>
  <si>
    <t>https://www.vetena.de/250-ml-Toxisan</t>
  </si>
  <si>
    <t>Brennnesselextrakt, Wildes Stiefmütterchenextrakt, Ringelblumenextrakt, Arnikaextrakt</t>
  </si>
  <si>
    <t xml:space="preserve">Fell und Haut Vital </t>
  </si>
  <si>
    <t>https://www.vetena.de/6-kg-Fell-Haut-Vital</t>
  </si>
  <si>
    <t>Algenkalk, Bierhefe, Malzkeime, Brennnessel, wildes Stiefmütterchen, Mariendistel, Queckenwurzel, Algen, Traubenkerne extrahiert, Ginkgo, Schwarzkümmelsamen, Sanddornbeeren, Spirulina</t>
  </si>
  <si>
    <t>Fit-BARF Flohsamenschalen</t>
  </si>
  <si>
    <t>https://www.vetena.de/600-g-Fit-BARF-Flohsamenschalen</t>
  </si>
  <si>
    <t>dentaVet AntiPlaque für Hunde und Katzen</t>
  </si>
  <si>
    <t>https://www.vetena.de/150-g-cdVet-dentaVet-Anti-Plaque-Hunde-Katzen</t>
  </si>
  <si>
    <t>100% Ascophyllum nodosum (Knotentang), gemahlen</t>
  </si>
  <si>
    <t>HustaVet Immun</t>
  </si>
  <si>
    <t>Leinsamen, Weißdorn, Karotten, Apfeltrester, Rote Bete, Brennnesselkraut, Süßholzwurzel, Fichtennadeln, Thymian, Dextrose, Birkenblatt</t>
  </si>
  <si>
    <t>https://www.vetena.de/cdVet-HustaVet-Immun-Heimtiere</t>
  </si>
  <si>
    <t>ArthroGreen Junior</t>
  </si>
  <si>
    <t>30% neuseeländische grünlippige Zuchtmuschel gefr. getr., Traubenkerne extrahiert, Petersilie, Ginkgo, Hagebuttenschalen, Schachtelhalmkraut, Spirulina, Sanddornbeeren</t>
  </si>
  <si>
    <t>https://www.vetena.de/330-g-ArthroGreen-Junior</t>
  </si>
  <si>
    <t>100% Ascophyllum nodosum</t>
  </si>
  <si>
    <t>https://www.vetena.de/500-g-Fit-BARF-Seealgenmehl</t>
  </si>
  <si>
    <t>ArthroGreen Lauf-Fit Pro</t>
  </si>
  <si>
    <t>https://www.vetena.de/500-ml-cdVet-ArthroGreen-Lauf-FitPro</t>
  </si>
  <si>
    <t>Alkoholischer Kräuterauszug aus Rosskastanienblüten, Arnikablüten und Ringelblumenblüten, Essigsaurer Kräuterauszug aus Rosskastanienblüten, Arnikablüten und Ringelblumenblüten, Natriumchlorid.</t>
  </si>
  <si>
    <t>HerzAgil</t>
  </si>
  <si>
    <t>https://www.vetena.de/600-g-HerzAgil</t>
  </si>
  <si>
    <t>Weißdorn, Mistel, Sanddorn, Holunder, Schwarzkümmel, Brennnessel, Echinacea, Rote Bete, Arnika</t>
  </si>
  <si>
    <t>HarnwegeMix</t>
  </si>
  <si>
    <t>HarnWege Mix</t>
  </si>
  <si>
    <t>https://www.vetena.de/450-g-HarnwegeMix</t>
  </si>
  <si>
    <t>Traubenkerne extrahiert, Taubnessel, Bohnenhülsen, Brombeerblätter, Schachtelhalm, Propolis, Melisse, Eichenrinde, Weidenrinde, Ginseng, Wasserdost, Weinblätter, Kamille</t>
  </si>
  <si>
    <t>Singulares Eierschalenmehl extrafein</t>
  </si>
  <si>
    <t>https://www.vetena.de/25-kg-Singulares-Eierschalenpulver-extrafein</t>
  </si>
  <si>
    <t>Nervennahrung</t>
  </si>
  <si>
    <t>https://www.vetena.de/cdVet-Nervennahrung-Hund-Katze</t>
  </si>
  <si>
    <t>Algenkalk, Malzkeime, Melissenblätter, Pfingstrosenwurzel, Johanniskraut, Bierhefe</t>
  </si>
  <si>
    <t>SeniorCat</t>
  </si>
  <si>
    <t>https://www.vetena.de/cdVet-SeniorCat-Katze</t>
  </si>
  <si>
    <t>Leinsamen, Biertreber, Weißdorn, Bierhefe, Mariendistelkraut, Birkenblatt, Brennnesselkraut, Ginkgo, Löwenzahn, Ingwer</t>
  </si>
  <si>
    <t>Eukalyptusöl</t>
  </si>
  <si>
    <t>ZeckEx herbal Öl</t>
  </si>
  <si>
    <t>https://www.vetena.de/100-ml-ZeckEx-herbal-Oel</t>
  </si>
  <si>
    <t>Eucalyptus citriodora Öl hydratisiert, zyklisiert (EC Öl )H/C)) 100 mg/L</t>
  </si>
  <si>
    <t>Calma</t>
  </si>
  <si>
    <t>https://www.vetena.de/250-ml-Calma</t>
  </si>
  <si>
    <t>Aromastoffe, Johanniskraut, Melisse</t>
  </si>
  <si>
    <t>Kohlensaurer Algenkalk</t>
  </si>
  <si>
    <t>https://www.vetena.de/850-g-Fit-BARF-Algenkalk</t>
  </si>
  <si>
    <t>Reinhefe</t>
  </si>
  <si>
    <t>https://www.vetena.de/680-g-Fit-BARF-Reinhefe</t>
  </si>
  <si>
    <t>FitBARF Sensitive</t>
  </si>
  <si>
    <t>https://www.vetena.de/cdVet-Fit-BARF-Sensitive-Hund-Katze</t>
  </si>
  <si>
    <t>Topinambur, Karotten gemahlen, Rote Bete, Leinsamen, Schwarzkümmelsamen, Malzkeime, Bierhefe, Brennnesselkraut, Birkenblatt, Mariendistelkraut, Löwenzahnkraut, Löwenzahnwurzel</t>
  </si>
  <si>
    <t>FitBARF WürzMix</t>
  </si>
  <si>
    <t>https://www.vetena.de/50-g-Fit-BARF-WuerzMix</t>
  </si>
  <si>
    <t>Zitronenmelisse, Rosmarin, Petersilie, Salbei, Majoran, Thymian</t>
  </si>
  <si>
    <t>GeburtshilfeMix</t>
  </si>
  <si>
    <t>https://www.vetena.de/1-25-kg-Geburtshilfe-Mischung</t>
  </si>
  <si>
    <t>Weizenkeime, Himbeerblätter, Algen, Herzgespann, Leinsaat, Brennnesselkraut, Süßholz, Bockshornklee, Frauenmantel</t>
  </si>
  <si>
    <t>ToxiVet sorb</t>
  </si>
  <si>
    <t>https://www.vetena.de/cdVet-ToxiVet-sorb-Hunde-Katze</t>
  </si>
  <si>
    <t>Bierhefe, Queckenwurzel, Himbeerblätter</t>
  </si>
  <si>
    <t>VetCarotin</t>
  </si>
  <si>
    <t>https://www.vetena.de/720-g-VetCarotin</t>
  </si>
  <si>
    <t>Rote Mohrrüben, getrocknet</t>
  </si>
  <si>
    <t>https://www.vetena.de/cdVet-Welpenmilch-Aufzucht</t>
  </si>
  <si>
    <t>Vollmilchpulver, Milcheiweiß, Mineralstoffe, Johannisbrotkernmehl</t>
  </si>
  <si>
    <t>Bio Hanfnussöl</t>
  </si>
  <si>
    <t>https://www.vetena.de/cdVet-Fit-BARF-Bio-Hanfnussoel-Hund-Katze</t>
  </si>
  <si>
    <t>100% Bio Hanföl erste Kaltpressung</t>
  </si>
  <si>
    <t>Fit-BARF Obst</t>
  </si>
  <si>
    <t>https://www.vetena.de/cdVet-Fit-BARF-Obst-Hund-Katze</t>
  </si>
  <si>
    <t>Aroniatrester, Apfeltrester 20,5%, Erdbeeretrester, Schwarze Johannisbeertrester, Hagebuttenschalen, Malzkeime, Bierhefe</t>
  </si>
  <si>
    <t>feliTATZ Kittenmilch</t>
  </si>
  <si>
    <t>https://www.vetena.de/750-g-cdVet-Kittenmilch</t>
  </si>
  <si>
    <t>Vollmilchpulver, Kolostrum, Milcheiweiß, Natriumchlorid, Johannisbrotkernmehl</t>
  </si>
  <si>
    <t>Fit-BARF VeaVet</t>
  </si>
  <si>
    <t>Bio-Hanföl, Bio-Nachtkerzenöl, Bio-Arganöl kaltgepresst</t>
  </si>
  <si>
    <t>https://www.vetena.de/100-ml-Fit-BARF-VeaVet</t>
  </si>
  <si>
    <t>Arganöl</t>
  </si>
  <si>
    <t>Singulares Bio-Arganöl</t>
  </si>
  <si>
    <t>100% biologisches Arganöl aus Wildsammlung</t>
  </si>
  <si>
    <t>https://www.vetena.de/100-ml-Singulares-Bio-Arganoel</t>
  </si>
  <si>
    <t>Singulares Flohsamenschalen</t>
  </si>
  <si>
    <t>https://www.vetena.de/cdVet-Singulares-Flohsamenschalen-Hund-Katze</t>
  </si>
  <si>
    <t>Singulares Weizenkeim-Öl</t>
  </si>
  <si>
    <t>100% kaltgepresstes Weizenkeimöl</t>
  </si>
  <si>
    <t>https://www.vetena.de/cdVet-Singulares-Weizenkeim-Oel</t>
  </si>
  <si>
    <t>Canivita</t>
  </si>
  <si>
    <t>Öle, Fette, Saccharose</t>
  </si>
  <si>
    <t>https://www.vetena.de/Canina-Canivita-Hund-Katze</t>
  </si>
  <si>
    <t>Vermiculite-Staufen Nr. 24</t>
  </si>
  <si>
    <t>Weravet</t>
  </si>
  <si>
    <t>Calciumcarbonat, Milchzucker</t>
  </si>
  <si>
    <t>https://www.vetena.de/1-kg-Vermiculite-Staufen-Nr-24</t>
  </si>
  <si>
    <t>animaux nutrients for cats</t>
  </si>
  <si>
    <t>animaux</t>
  </si>
  <si>
    <t>https://www.vetena.de/120-Kautabletten-animaux-Nutrients-for-Cats</t>
  </si>
  <si>
    <t>Erzeugnisse aus der Verarbeitung von Pflanzen, Mineralstoffe, DL-Methionin</t>
  </si>
  <si>
    <t>Animaux in motion for cats</t>
  </si>
  <si>
    <t>Animaux</t>
  </si>
  <si>
    <t>https://www.vetena.de/90-Kautabletten-animaux-In-Motion-Cats</t>
  </si>
  <si>
    <t>Fleisch und tierische Nebenerzeugnisse, Milch und Molkereierzeugnisse, Hefen, Gelatinehydrolisat, Grünlippmuschel, Ginkgo, Hagebutte.</t>
  </si>
  <si>
    <t>Animaux Gastro Balance for Cats</t>
  </si>
  <si>
    <t>Animaux Nutrients for Cats</t>
  </si>
  <si>
    <t>animaux gastro balance for cats</t>
  </si>
  <si>
    <t>Milch und Molkereierzeugnisse, Fleisch und tierische Nebenerzeugnisse, Obsttrester, Hefen, Zitronengras, Zichorienpülpe, Leinsaat, Mineralstoffe, Karottentrester, Reismehl, Natriumbikarbonat, Apfelpektin, Flohsamenschalen, Fenchelfrüchte, Eibischwurzel, Salbeiblätter, Kamillenblüten, Anissaat, Fisch und Fischnebenerzeugnisse.</t>
  </si>
  <si>
    <t>https://animaux-nutrients.com/produkt/gastro-balance-for-cats/</t>
  </si>
  <si>
    <t>animaux Omega Complete Cats</t>
  </si>
  <si>
    <t>https://www.vetena.de/120-Kautabletten-animaux-Omega-Complete-Cats</t>
  </si>
  <si>
    <t>Milch und Molkereierzeugnisse, Fleisch und tierische Nebenerzeugnisse, Öle und Fette, Hefe, Volleipulver</t>
  </si>
  <si>
    <t>Dia Tab</t>
  </si>
  <si>
    <t>https://www.vetena.de/60x5-5-g-Dia-Tab</t>
  </si>
  <si>
    <t>Geflügelleber, Obsttrester (Apfel, Zitrone), getrocknet 11,9 %, Traubenzucker, Maisstärke, Reismehl, Eiererzeugnisse, getrocknet, Natriumchlorid, Karottentrester 3 %, Bruchreis, Leinextraktionsschrot, Bierhefe, Süßholz 0,3 %, Heidelbeeren 0,3 %, Fenchelsaat 0,3 %, Brombeerblätter 0,3 %, Bockshornkleesaat 0,3 %, Kaliumchlorid</t>
  </si>
  <si>
    <t>FeliGum Hairball</t>
  </si>
  <si>
    <t>https://www.vetena.de/40-g-FeliGum-Hairball</t>
  </si>
  <si>
    <t>Fleisch und tierische Nebenerzeugnisse, Glycerin, Sorbitol, Glucosesirup, Reisstärke, Paraffinöl, Entenfett, Natriumchlorid</t>
  </si>
  <si>
    <t>ReConvales Tonicum</t>
  </si>
  <si>
    <t>ReConvales Tonicum Hund und Katze</t>
  </si>
  <si>
    <t>https://www.vetena.de/280-ml-ReConvales-Tonicum-Katze</t>
  </si>
  <si>
    <t>Fleisch und tierische Nebenerzeugnisse, pflanzliche, Nebenerzeugnisse, Öle und Fette, Mineralstoffe</t>
  </si>
  <si>
    <t>FeliGum Struvit</t>
  </si>
  <si>
    <t>https://www.vetena.de/160-g-FeliGum-Struvit</t>
  </si>
  <si>
    <t>Fleisch und tierische Nebenprodukte. Glycerin, Sorbitol, Reisstärke, Glucosesirup, Entenfett, Glucosamin 2 %, Cranberry 1 %, Natrlumchlorid</t>
  </si>
  <si>
    <t>HepatoSan</t>
  </si>
  <si>
    <t>https://www.vetena.de/30-Tabletten-HepatoSan-700</t>
  </si>
  <si>
    <t>Hefeerzeugnis 28 %, Mariendistelsamen 12,2 %, verarbeitetes tierisches Protein (Geflügelleber), Zichorien-Inulin 5 %, Monocalciumphosphat, Artischockenblätter 1,6 %, Kurkuma 0,8 %, Magnesiumstearat, Natriumchlorid, Magnesiumoxid</t>
  </si>
  <si>
    <t>Reconvales Energy</t>
  </si>
  <si>
    <t>ReConvales Energy</t>
  </si>
  <si>
    <t>https://www.vetena.de/180-ml-ReConvales-Energy</t>
  </si>
  <si>
    <t>Fleisch und tierische Nebenerzeugnisse, Öle und Fette, pflanzliche Nebenerzeugnisse, Mineralstoffe</t>
  </si>
  <si>
    <t>ReConvales Power Paste</t>
  </si>
  <si>
    <t>ReConvales Power Paste Hund und Katze</t>
  </si>
  <si>
    <t>https://www.vetena.de/140-g-ReConvales-Power</t>
  </si>
  <si>
    <t>Öle und Fette, Hefen, Mineralstoffe</t>
  </si>
  <si>
    <t>FeliGum L-Lysin</t>
  </si>
  <si>
    <t>https://www.vetena.de/120-g-FeliGum-L-Lysin</t>
  </si>
  <si>
    <t>Fleisch und tierische Nebenprodukte, Sorbitol, Glycerin, Reisstärke, Glucosesirup, Natriumchlorid</t>
  </si>
  <si>
    <t>FeliGum Gingiva</t>
  </si>
  <si>
    <t>Fleisch und tierische Nebenerzeugnisse, Glycerin, Sorbitol, Glucosesirup, Reisstärke, Fischöl, Natriumchlorid</t>
  </si>
  <si>
    <t>https://www.vetena.de/120-g-FeliGum-Gingiva</t>
  </si>
  <si>
    <t>EnzymoPank</t>
  </si>
  <si>
    <t>https://www.vetena.de/500-g-EnzymoPank-Hund-Katze</t>
  </si>
  <si>
    <t>Tierische Nebenprodukte (Schweinepankreas, Schweinegrieben, Geflügelleber) 51 %, Kartoffelstärke, Schweinegelatine, Fenchelsaat 2 %, Kamillenblüten, getrocknet 2 %, Katzenminze 2 %, Mohave-Palmlilie (Yucca schidigera)</t>
  </si>
  <si>
    <t>PulmoAlfa</t>
  </si>
  <si>
    <t>https://www.vetena.de/Alfavet-Pulmo-alfa-Hund-Katze</t>
  </si>
  <si>
    <t>Zuckerrübensirup, [Spitzwegerich, Brunnenkresse, Isländisch Moos] mazeriert je 2 %, Süßholzwurzelsaft, [Süßholzwurzel, Efeublätter, getrocknet] gemahlen je 0,1 %</t>
  </si>
  <si>
    <t>ReConvales Päppelpaste</t>
  </si>
  <si>
    <t>Lachs (35 %), Rapsöl, Maisstärke, Kartoffelstärke, Dill (0,1 %)</t>
  </si>
  <si>
    <t>https://www.vetena.de/Alfavet-ReConvales-Paeppelpaste-Hund-Katze</t>
  </si>
  <si>
    <t>DiarPositiv PRO</t>
  </si>
  <si>
    <t>https://www.vetena.de/30-ml-DiarPositiv-PRO</t>
  </si>
  <si>
    <t>Pflanzliche Öle und Fette, Malz, Fructo-Oligosaccharide 5 %, Hefenerzeugnisse, Natriumbutyrat 0,6 %, Mineralstoffe, Hefen, Natriumchlorid, Kaliumchlorid</t>
  </si>
  <si>
    <t>FelIGum Dia Katze</t>
  </si>
  <si>
    <t>Fleisch und tierische Nebenprodukte, Glycerin, Sorbitol, Reisstärke, Galactooligosaccharide 5 %, Pectin 5 %, Natriumchlorid, Entenfett, Heidelbeeren, getrocknet 0,5 %, Brombeerblätter 0,5 %, Kaliumchlorid</t>
  </si>
  <si>
    <t>https://www.vetena.de/40-g-FeliGum-Dia</t>
  </si>
  <si>
    <t>https://www.vetena.de/Alfavet-Dia-Paste-PRO-Hund-Katze</t>
  </si>
  <si>
    <t>Öle und Fette, Fleisch und tierische Nebenerzeugnisse, Fructo-Oligosaccharide 5 %, Hefen, Malz, Johannisbrotmehl 1,5 %</t>
  </si>
  <si>
    <t>ReConvales AntiPhos</t>
  </si>
  <si>
    <t>Pflanzliche Nebenerzeugnisse, Fleisch und tierische Nebenerzeugnisse, Öle und Fette, Mineralstoffe (Calciumcarbonat 2,1 %), Hefen</t>
  </si>
  <si>
    <t>https://www.vetena.de/Alfavet-ReConvales-AntiPhos-Hund-Katze</t>
  </si>
  <si>
    <t>FeliGum Oxal</t>
  </si>
  <si>
    <t>https://www.vetena.de/Alfavet-FeliGum-Oxal-Hund-Katze</t>
  </si>
  <si>
    <t>Fleisch und tierische Nebenerzeugnisse, Kaliumcitrat 15 %, Sorbitol, Glycerin, Reisquellstärke, Glucosamin 3,2 %, Entenfett, Chondroitin 2,3 %, Natriumchlorid</t>
  </si>
  <si>
    <t>Dia Tab PRO</t>
  </si>
  <si>
    <t>Dia Paste PRO</t>
  </si>
  <si>
    <t>DiaTab PRO</t>
  </si>
  <si>
    <t>https://www.vetena.de/100-g-Dia-Tab-PRO</t>
  </si>
  <si>
    <t>Hefeprodukt, Dicalciumpyrophosphat, verarbeitetes tierisches Protein (Schweineleber), Johannisbrot, gemahlen, Fructo-Oligosaccharide, Natriumchlorid, Magnesiumsalze organischer Säuren (Stearin- und Palmitinsäure), Kaliumchlorid, Magnesiumsulfat.</t>
  </si>
  <si>
    <t>DuOmega Hund und Katze</t>
  </si>
  <si>
    <t>DuOmega 500 mg</t>
  </si>
  <si>
    <t>https://www.vetena.de/60-Kapseln-DuOmega-500-mg</t>
  </si>
  <si>
    <t>Fischöl, Kriliöl</t>
  </si>
  <si>
    <t>Urostat</t>
  </si>
  <si>
    <t>https://www.vetena.de/Alfavet-Urostat-Hund-Katze</t>
  </si>
  <si>
    <t>D-Mannose 10 %, Zuckerrübensirup, Glucosamin 2 %, (Brennnessel, Schachtelhalm, Goldrute, Lavendel, Schwarze Johannisbeere) mazeriert je 2 %, Cranberry, gemahlen 0,5 %, Phytosterole, Goldrute, gemahlen 0,1 %</t>
  </si>
  <si>
    <t>Renal Combi</t>
  </si>
  <si>
    <t>https://www.vetena.de/150-g-Alfavet-Renal-Combi</t>
  </si>
  <si>
    <t>Calciumcarbonat 26 %, Fructo-Oligosaccharide 20 %, Calciumsalze organischer Säuren (Calciumlactogluconat) 16 %, Maltodextrin, Chitosan 8 %, Natriumbicarbonat 6 %, Natriumpyrophosphat, Hefen und ähnliche Erzeugnisse, Lupinenproteinschrot</t>
  </si>
  <si>
    <t>FeliGum Hepato</t>
  </si>
  <si>
    <t>https://www.vetena.de/120-g-FeliGum-Hepato</t>
  </si>
  <si>
    <t>Fleisch und tierische Nebenerzeugnisse, Glycerin, Sorbitol, Reisstärke, Fischöl, Natriumchlorid</t>
  </si>
  <si>
    <t>Umijo Immun Pet</t>
  </si>
  <si>
    <t>https://alfavet.de/produkte/detail/umijo-immun-pet</t>
  </si>
  <si>
    <t>Zuckerrübensirup, Sonnenhut, mazeriert 3%, [Wasserdostkraut, Lebensbaum, Kapland-Pelargonie] mazeriert je 1%, Mumijo 1%, [Sonnenhut, Wasserdostkraut, Lebensbaum, Kapland-Pelargonie] gemahlen je 0,1%</t>
  </si>
  <si>
    <t>ReConvales Cardio</t>
  </si>
  <si>
    <t>https://www.vetena.de/Alfavet-ReConvales-Cardio-Hund-Katze</t>
  </si>
  <si>
    <t>Pflanzliche Nebenerzeugnisse (Weißdorn 1 %), Fleisch und tierische Nebenerzeugnisse, Öle und Fette, Mineralstoffe, Hefen</t>
  </si>
  <si>
    <t>Dia Feli</t>
  </si>
  <si>
    <t>https://www.vetena.de/Alfavet-Dia-Feli-Katze</t>
  </si>
  <si>
    <t>Obsttrester (Apfel, Zitrone), getrocknet 40 %, Karottentrester 10 %, Geflügelleber, Bruchreis, Leinextraktionsschrot, Bierhefe, Traubenzucker, Natriumchlorid, Süßholz 1 %, Heidelbeeren 1 %, Fenchelsaat 1 %, Brombeerblätter 1 %, Bockshornkleesaat 1 %, Kaliumchlorid</t>
  </si>
  <si>
    <t>ReConvales Artrin</t>
  </si>
  <si>
    <t>Pflanzliche Nebenerzeugnisse (Teufelskralle 0,5 %, Weidenrinde 0,5 %) , Fleisch und tierische Nebenerzeugnisse (Chondroitin 1 %), Öle und Fette, Mineralstoffe, Hefen, Weich- und Krebstiere (Grünlippmuschel 1 %, Glucosamin 1 %)</t>
  </si>
  <si>
    <t>https://www.vetena.de/3x90-ml-ReConvales-Artrin</t>
  </si>
  <si>
    <t>Pregnostat</t>
  </si>
  <si>
    <t>https://www.vetena.de/Alfavet-Pregnostat</t>
  </si>
  <si>
    <t>Zuckerrübensirup, Pulsatilla-Extrakt 2 %, Asa foetida-Harz 2 %</t>
  </si>
  <si>
    <t>PetArtrin Forte</t>
  </si>
  <si>
    <t>https://www.vetena.de/Alfavet-PetArtrin-forte</t>
  </si>
  <si>
    <t>Glucosamin 18 %, Hyaluronsäure-Chondroitinsulfat- Komplex 5 %, Leinöl, Bromelienfruchtpulver 2 %, Fischöl, Fischknorpel, Grünlippmuschelextrakt 0,1 %</t>
  </si>
  <si>
    <t>DuoTox Paste</t>
  </si>
  <si>
    <t>DuoTox Paste für Kleintiere</t>
  </si>
  <si>
    <t>https://www.vetena.de/Alfavet-DuoTox-Paste-Kleintiere</t>
  </si>
  <si>
    <t>pflanzliche Kohle 30 %, Glycerin, Sorbitol</t>
  </si>
  <si>
    <t>DuoTox Liquid</t>
  </si>
  <si>
    <t>DuoTox Liquid für Kleintiere</t>
  </si>
  <si>
    <t>https://www.vetena.de/Alfavet-DuoTox-Liquid-Kleintiere</t>
  </si>
  <si>
    <t>Sanfte Alge</t>
  </si>
  <si>
    <t>sanfte Alge</t>
  </si>
  <si>
    <t>https://foten.net/shop/sanfte-alge/#Section4</t>
  </si>
  <si>
    <t>Algenöl 74%, Olivenöl 23%, Sonnenblumenöl 2%</t>
  </si>
  <si>
    <t>Fischöl</t>
  </si>
  <si>
    <t>Öle und Fette aus afrikanischen und amerikanischen Nüssen</t>
  </si>
  <si>
    <t>Nussöl</t>
  </si>
  <si>
    <t>Öle und Fette (rein pflanzlich und kalt gepresst aus Nüssen, Weizenkeimen und Leinsamen)</t>
  </si>
  <si>
    <t>https://www.medpets.at/canina-immun-booster?sku=MP37489&amp;gad_source=1&amp;gclid=Cj0KCQiA88a5BhDPARIsAFj595jJpk0SZCoV_qnOAw27S20Ls7hn4aMe65GF9Xc428rBGXo2MS9fJvkaAv6mEALw_wcB</t>
  </si>
  <si>
    <t>Hanfsaatöl</t>
  </si>
  <si>
    <t>Lebertran von Dorsch</t>
  </si>
  <si>
    <t xml:space="preserve">Rinderfett </t>
  </si>
  <si>
    <t>Fischfett</t>
  </si>
  <si>
    <t>Torf</t>
  </si>
  <si>
    <t>Apfelessig</t>
  </si>
  <si>
    <t>Pflanzliche Kohle</t>
  </si>
  <si>
    <t>https://fortan.de/Bierhefe-Tabs/564</t>
  </si>
  <si>
    <t> 100 % aus echter Bierhefe (Saccharomyces cerevisiae).</t>
  </si>
  <si>
    <t>Biotin-plus MSM Tabs</t>
  </si>
  <si>
    <t>https://fortan.de/Biotin-plus-MSM-Tabs/582b</t>
  </si>
  <si>
    <t>Hefen, MSM (Methyl Sulfonyl Methan) 7 %, Magnesiumstearat, Saaten</t>
  </si>
  <si>
    <t>Calciumgluconat</t>
  </si>
  <si>
    <t>Calcium-Gluconat</t>
  </si>
  <si>
    <t>https://fortan.de/Calcium-Gluconat/536</t>
  </si>
  <si>
    <t>Carni-Fortan</t>
  </si>
  <si>
    <t>https://fortan.de/Carni-Fortan/586</t>
  </si>
  <si>
    <t>Hefen, pflanzliche Nebenerzeugnisse, Kollagenhydrolysat, Mineralstoffe, Glucose</t>
  </si>
  <si>
    <t xml:space="preserve">Catfortan </t>
  </si>
  <si>
    <t>Catfortan</t>
  </si>
  <si>
    <t>https://fortan.de/CATFORTAN-Tabletten-fuer-Katzen/550</t>
  </si>
  <si>
    <t>Hefen, Mineralstoffe, Milch/Molkereierzeugnisse,pflanzliche Nebenerzeugnisse (als Trockenkräuter), Kollagenhydrolysat, Algen, Hämoglobin, Saaten</t>
  </si>
  <si>
    <t>Cervico</t>
  </si>
  <si>
    <t>https://fortan.de/Cervico/511</t>
  </si>
  <si>
    <t>Hefen, MSM (Methyl Sulfonyl Methan)</t>
  </si>
  <si>
    <t>https://fortan.de/Dicalciumphosphat-in-Pharmaqualitaet/543</t>
  </si>
  <si>
    <t>Glykan Pulver</t>
  </si>
  <si>
    <t>Glykan Compact Tabletten</t>
  </si>
  <si>
    <t>https://fortan.de/Glykan-Compact-Tabletten/509</t>
  </si>
  <si>
    <t>Muschelfleischmehl 40 %, Mineralstoffe, hydrolysiertes Collagen, Hefen, pflanzliche Nebenerzeugnisse (als Trockenkräuter), Algen</t>
  </si>
  <si>
    <t>Keimoel Plus</t>
  </si>
  <si>
    <t>https://fortan.de/Keimoel-plus/517b</t>
  </si>
  <si>
    <t>Maiskeimöl, Nachtkerzenöl, Leinöl, Sesamöl, Dorschleberöl</t>
  </si>
  <si>
    <t>https://fortan.de/Lachsoel/589</t>
  </si>
  <si>
    <t>Ladies Tabs</t>
  </si>
  <si>
    <t>Himbeerblätter-Extrakt 4:1, Hefen, pflanzliche Nebenerzeugnisse, Mineralstoffe</t>
  </si>
  <si>
    <t>https://fortan.de/Ladies-Tabs/568</t>
  </si>
  <si>
    <t>Magnesiumgluconat</t>
  </si>
  <si>
    <t>https://fortan.de/Magnesium-Gluconat/559</t>
  </si>
  <si>
    <t>https://fortan.de/Nachtkerzenoel/573</t>
  </si>
  <si>
    <t>Plu-Fortan Protect Tabletten</t>
  </si>
  <si>
    <t>https://fortan.de/Plu-Fortan-Protect-Tabletten/556b</t>
  </si>
  <si>
    <t>Glucosaminhydrochlorid 22 %, Hefen, Chondroitinsulfat 18 %, MSM (Methyl Sulfonyl Methan) 11 %, Mineralstoffe, pflanzliche Nebenerzeugnisse</t>
  </si>
  <si>
    <t>Kasein</t>
  </si>
  <si>
    <t>Rein-Casein</t>
  </si>
  <si>
    <t>https://fortan.de/Rein-Casein/535</t>
  </si>
  <si>
    <t>Casein</t>
  </si>
  <si>
    <t>Relax-Fortan</t>
  </si>
  <si>
    <t>https://fortan.de/Relax-Fortan/581</t>
  </si>
  <si>
    <t>Hefen, pflanzliche Nebenerzeugnisse als Trockenkräuter, Magnesiumoxid</t>
  </si>
  <si>
    <t>Seealgen-Mehl mittelfein</t>
  </si>
  <si>
    <t>https://fortan.de/Seealgen-Mehl-mittelfein/562</t>
  </si>
  <si>
    <t>https://fortan.de/Spirulina/569</t>
  </si>
  <si>
    <t>Teufelskrallenwurzel, gemahlen</t>
  </si>
  <si>
    <t>Gummi Arabicum gemahlen</t>
  </si>
  <si>
    <t>Gummi Arabicum, gemahlen</t>
  </si>
  <si>
    <t>Zistrose, gemahlen</t>
  </si>
  <si>
    <t>Katzenkralle, gemahlen</t>
  </si>
  <si>
    <t>Klettenwurzel, gemahlen</t>
  </si>
  <si>
    <t>Himberblätter, gemahlen</t>
  </si>
  <si>
    <t>Kieselerde, gemahlen</t>
  </si>
  <si>
    <t>Ca/P-Verhältnis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</si>
</sst>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font>
      <sz val="11"/>
      <color theme="1"/>
      <name val="Calibri"/>
      <family val="2"/>
      <scheme val="minor"/>
    </font>
    <font>
      <sz val="9"/>
      <color theme="0" tint="-0.34998626667073579"/>
      <name val="Calibri"/>
      <family val="2"/>
      <scheme val="minor"/>
    </font>
    <font>
      <sz val="9"/>
      <color theme="4"/>
      <name val="Calibri"/>
      <family val="2"/>
      <scheme val="minor"/>
    </font>
    <font>
      <sz val="9"/>
      <color theme="1"/>
      <name val="Calibri"/>
      <family val="2"/>
      <scheme val="minor"/>
    </font>
    <font>
      <sz val="9"/>
      <color theme="1"/>
      <name val="Calibri"/>
      <family val="2"/>
    </font>
    <font>
      <sz val="9.9"/>
      <color theme="1"/>
      <name val="Calibri"/>
      <family val="2"/>
    </font>
    <font>
      <sz val="9"/>
      <color theme="0" tint="-0.499984740745262"/>
      <name val="Calibri"/>
      <family val="2"/>
      <scheme val="minor"/>
    </font>
    <font>
      <sz val="9"/>
      <color rgb="FFFF0000"/>
      <name val="Calibri"/>
      <family val="2"/>
      <scheme val="minor"/>
    </font>
    <font>
      <sz val="9"/>
      <color rgb="FF33CCCC"/>
      <name val="Calibri"/>
      <family val="2"/>
      <scheme val="minor"/>
    </font>
    <font>
      <u/>
      <sz val="11"/>
      <color theme="10"/>
      <name val="Calibri"/>
      <family val="2"/>
      <scheme val="minor"/>
    </font>
    <font>
      <sz val="9"/>
      <name val="Calibri"/>
      <family val="2"/>
      <scheme val="minor"/>
    </font>
    <font>
      <b/>
      <sz val="9"/>
      <color theme="1"/>
      <name val="Calibri"/>
      <family val="2"/>
      <scheme val="minor"/>
    </font>
    <font>
      <sz val="9"/>
      <color rgb="FF000000"/>
      <name val="Arial"/>
      <family val="2"/>
    </font>
    <font>
      <sz val="7"/>
      <color rgb="FF525252"/>
      <name val="Open Sans"/>
      <family val="2"/>
    </font>
    <font>
      <sz val="6"/>
      <color rgb="FF525252"/>
      <name val="Open Sans"/>
      <family val="2"/>
    </font>
    <font>
      <sz val="9"/>
      <color rgb="FF333333"/>
      <name val="Arial"/>
      <family val="2"/>
    </font>
    <font>
      <i/>
      <sz val="9"/>
      <color rgb="FF333333"/>
      <name val="Arial"/>
      <family val="2"/>
    </font>
    <font>
      <sz val="8"/>
      <color rgb="FF5D6167"/>
      <name val="Poppins"/>
    </font>
    <font>
      <i/>
      <sz val="8"/>
      <color rgb="FF5D6167"/>
      <name val="Poppins"/>
    </font>
    <font>
      <sz val="9"/>
      <color rgb="FF5D6167"/>
      <name val="Calibri"/>
      <family val="2"/>
      <scheme val="minor"/>
    </font>
    <font>
      <sz val="8"/>
      <name val="Calibri"/>
      <family val="2"/>
      <scheme val="minor"/>
    </font>
    <font>
      <sz val="11"/>
      <color rgb="FF565655"/>
      <name val="Futura-pt"/>
    </font>
    <font>
      <sz val="8"/>
      <color rgb="FF565655"/>
      <name val="Futura-pt"/>
    </font>
    <font>
      <sz val="7"/>
      <color rgb="FF2B140E"/>
      <name val="Segoe UI"/>
      <family val="2"/>
    </font>
    <font>
      <sz val="7"/>
      <color rgb="FF333333"/>
      <name val="Open Sans"/>
      <family val="2"/>
    </font>
    <font>
      <sz val="8"/>
      <color rgb="FF64564B"/>
      <name val="GeloRegular"/>
    </font>
    <font>
      <sz val="7"/>
      <color rgb="FF808093"/>
      <name val="Poppins"/>
    </font>
  </fonts>
  <fills count="7">
    <fill>
      <patternFill patternType="none"/>
    </fill>
    <fill>
      <patternFill patternType="gray125"/>
    </fill>
    <fill>
      <patternFill patternType="solid">
        <fgColor theme="5"/>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s>
  <borders count="10">
    <border>
      <left/>
      <right/>
      <top/>
      <bottom/>
      <diagonal/>
    </border>
    <border>
      <left/>
      <right/>
      <top style="thick">
        <color rgb="FF33CCCC"/>
      </top>
      <bottom style="thick">
        <color rgb="FF33CCCC"/>
      </bottom>
      <diagonal/>
    </border>
    <border>
      <left/>
      <right style="thick">
        <color rgb="FF33CCCC"/>
      </right>
      <top style="thick">
        <color rgb="FF33CCCC"/>
      </top>
      <bottom style="thick">
        <color rgb="FF33CCCC"/>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9" fillId="0" borderId="0" applyNumberFormat="0" applyFill="0" applyBorder="0" applyAlignment="0" applyProtection="0"/>
  </cellStyleXfs>
  <cellXfs count="37">
    <xf numFmtId="0" fontId="0" fillId="0" borderId="0" xfId="0"/>
    <xf numFmtId="0" fontId="1" fillId="0" borderId="0" xfId="0" applyFont="1"/>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3" fillId="2" borderId="0" xfId="0" applyFont="1" applyFill="1" applyAlignment="1">
      <alignment horizontal="center" vertical="center" textRotation="90"/>
    </xf>
    <xf numFmtId="0" fontId="3" fillId="2" borderId="0" xfId="0" applyFont="1" applyFill="1" applyAlignment="1">
      <alignment horizontal="center" vertical="center"/>
    </xf>
    <xf numFmtId="0" fontId="3" fillId="2" borderId="0" xfId="0" applyFont="1" applyFill="1" applyAlignment="1">
      <alignment horizontal="left" vertical="center" wrapText="1"/>
    </xf>
    <xf numFmtId="0" fontId="3" fillId="2" borderId="0" xfId="0" applyFont="1" applyFill="1" applyAlignment="1">
      <alignment horizontal="center" vertical="center" textRotation="90" wrapText="1"/>
    </xf>
    <xf numFmtId="0" fontId="3" fillId="3" borderId="0" xfId="0" applyFont="1" applyFill="1" applyAlignment="1">
      <alignment horizontal="center" vertical="center" textRotation="90" wrapText="1"/>
    </xf>
    <xf numFmtId="0" fontId="3" fillId="2" borderId="1" xfId="0" applyFont="1" applyFill="1" applyBorder="1" applyAlignment="1">
      <alignment horizontal="center" vertical="center" textRotation="90" wrapText="1"/>
    </xf>
    <xf numFmtId="0" fontId="3" fillId="2" borderId="2" xfId="0" applyFont="1" applyFill="1" applyBorder="1" applyAlignment="1">
      <alignment horizontal="center" vertical="center" textRotation="90" wrapText="1"/>
    </xf>
    <xf numFmtId="0" fontId="3" fillId="0" borderId="0" xfId="0" applyFont="1" applyAlignment="1">
      <alignment horizontal="center" vertical="center" wrapText="1"/>
    </xf>
    <xf numFmtId="0" fontId="3" fillId="4" borderId="3" xfId="0" applyFont="1" applyFill="1" applyBorder="1" applyAlignment="1">
      <alignment horizontal="center" vertical="center" textRotation="90" wrapText="1"/>
    </xf>
    <xf numFmtId="0" fontId="3" fillId="4" borderId="4" xfId="0" applyFont="1" applyFill="1" applyBorder="1" applyAlignment="1">
      <alignment horizontal="center" vertical="center" textRotation="90" wrapText="1"/>
    </xf>
    <xf numFmtId="0" fontId="3" fillId="4" borderId="5" xfId="0" applyFont="1" applyFill="1" applyBorder="1" applyAlignment="1">
      <alignment horizontal="center" vertical="center" textRotation="90" wrapText="1"/>
    </xf>
    <xf numFmtId="0" fontId="3" fillId="0" borderId="0" xfId="0" applyFont="1" applyAlignment="1">
      <alignment horizontal="center" vertical="center"/>
    </xf>
    <xf numFmtId="0" fontId="6" fillId="0" borderId="0" xfId="0" applyFont="1"/>
    <xf numFmtId="0" fontId="7" fillId="0" borderId="0" xfId="0" applyFont="1"/>
    <xf numFmtId="0" fontId="8" fillId="0" borderId="0" xfId="0" applyFont="1"/>
    <xf numFmtId="1" fontId="0" fillId="0" borderId="0" xfId="0" applyNumberFormat="1"/>
    <xf numFmtId="0" fontId="10" fillId="0" borderId="0" xfId="0" applyFont="1"/>
    <xf numFmtId="16" fontId="3" fillId="0" borderId="0" xfId="0" applyNumberFormat="1" applyFont="1"/>
    <xf numFmtId="0" fontId="11" fillId="0" borderId="6" xfId="0" applyFont="1" applyBorder="1"/>
    <xf numFmtId="0" fontId="11" fillId="0" borderId="7" xfId="0" applyFont="1" applyBorder="1"/>
    <xf numFmtId="0" fontId="11" fillId="0" borderId="8" xfId="0" applyFont="1" applyBorder="1"/>
    <xf numFmtId="0" fontId="11" fillId="0" borderId="9" xfId="0" applyFont="1" applyBorder="1"/>
    <xf numFmtId="0" fontId="3" fillId="6" borderId="0" xfId="0" applyFont="1" applyFill="1"/>
    <xf numFmtId="0" fontId="0" fillId="6" borderId="0" xfId="0" applyFill="1"/>
    <xf numFmtId="0" fontId="12" fillId="0" borderId="0" xfId="0" applyFont="1"/>
    <xf numFmtId="0" fontId="9" fillId="0" borderId="0" xfId="1"/>
    <xf numFmtId="0" fontId="24" fillId="0" borderId="0" xfId="0" applyFont="1"/>
    <xf numFmtId="0" fontId="3" fillId="5" borderId="0" xfId="0" applyFont="1" applyFill="1"/>
    <xf numFmtId="164" fontId="3" fillId="0" borderId="0" xfId="0" applyNumberFormat="1" applyFont="1"/>
    <xf numFmtId="0" fontId="6" fillId="6" borderId="0" xfId="0" applyFont="1" applyFill="1"/>
    <xf numFmtId="0" fontId="8" fillId="6" borderId="0" xfId="0" applyFont="1" applyFill="1"/>
    <xf numFmtId="164" fontId="3" fillId="6" borderId="0" xfId="0" applyNumberFormat="1" applyFont="1" applyFill="1"/>
  </cellXfs>
  <cellStyles count="2">
    <cellStyle name="Link" xfId="1" builtinId="8"/>
    <cellStyle name="Standard"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niforte.de/products/multivetal-pulver" TargetMode="External"/><Relationship Id="rId13" Type="http://schemas.openxmlformats.org/officeDocument/2006/relationships/hyperlink" Target="https://www.fressnapf.at/p/gimcat-milch-fuer-katzen-14x200ml-1100864/" TargetMode="External"/><Relationship Id="rId18" Type="http://schemas.openxmlformats.org/officeDocument/2006/relationships/printerSettings" Target="../printerSettings/printerSettings1.bin"/><Relationship Id="rId3" Type="http://schemas.openxmlformats.org/officeDocument/2006/relationships/hyperlink" Target="https://canina.de/products/220816-cat-mineral-pulver?cat_id=23" TargetMode="External"/><Relationship Id="rId7" Type="http://schemas.openxmlformats.org/officeDocument/2006/relationships/hyperlink" Target="https://www.aniforte.de/products/barf-complete-cat?tw_source=google&amp;tw_adid=&amp;tw_campaign=20983675876&amp;gad_source=1&amp;gclid=CjwKCAjwuJ2xBhA3EiwAMVjkVJSG3qpw36S9mBySnv-VXSZGPD7JTwi-LpD4ZqFAMcabxyAeX9G5XhoC5ZEQAvD_BwE" TargetMode="External"/><Relationship Id="rId12" Type="http://schemas.openxmlformats.org/officeDocument/2006/relationships/hyperlink" Target="https://www.almapharm.de/produkt/entericream/" TargetMode="External"/><Relationship Id="rId17" Type="http://schemas.openxmlformats.org/officeDocument/2006/relationships/hyperlink" Target="https://www.zooplus.at/shop/katze/katzensnacks/gimpet_snacks/gimpet_katzentabs/968409?activeVariant=968409.3&amp;mkt_source=1508220&amp;sv1=affiliate&amp;sv_campaign_id=323889&amp;awc=23924_1726829224_b0b21745572b73b3dcf7c6f64771be1e" TargetMode="External"/><Relationship Id="rId2" Type="http://schemas.openxmlformats.org/officeDocument/2006/relationships/hyperlink" Target="https://www.annimally.at/products/haut-fell-pulver-pflege-hund-katze?_gl=1*12sxr8s*_up*MQ..&amp;gclid=Cj0KCQjwo8S3BhDeARIsAFRmkOOkVlIfv6XQGMfHY9rb7s7ecTJjkN20Gmvh4Y3s66WGsIlr4ZT4mcsaAnwnEALw_wcB" TargetMode="External"/><Relationship Id="rId16" Type="http://schemas.openxmlformats.org/officeDocument/2006/relationships/hyperlink" Target="https://www.vet-concept.at/p/fuer-den-hund-revital-plus-150g-500g?prod_number=7708&amp;gad_source=1&amp;gclid=CjwKCAjw5v2wBhBrEiwAXDDoJZr_GZsVM5G3yLJnLQN7A1Se8Asq66qXCdNAnqcZ2sCvQPCUq3KvFRoCs30QAvD_BwE" TargetMode="External"/><Relationship Id="rId1" Type="http://schemas.openxmlformats.org/officeDocument/2006/relationships/hyperlink" Target="https://www.barf-kultur.de/Felini-Renal" TargetMode="External"/><Relationship Id="rId6" Type="http://schemas.openxmlformats.org/officeDocument/2006/relationships/hyperlink" Target="https://www.aniforte.de/products/wermix-katzen" TargetMode="External"/><Relationship Id="rId11" Type="http://schemas.openxmlformats.org/officeDocument/2006/relationships/hyperlink" Target="https://www.anibio.de/hunde/ergaenzungsfutter/darm-probiotic" TargetMode="External"/><Relationship Id="rId5" Type="http://schemas.openxmlformats.org/officeDocument/2006/relationships/hyperlink" Target="https://www.vet-concept.at/p/fuer-die-katze-agility-70g-1" TargetMode="External"/><Relationship Id="rId15" Type="http://schemas.openxmlformats.org/officeDocument/2006/relationships/hyperlink" Target="https://www.prodoca.de/Hund-Katze/hund-katze-6/vitaminzusaetze/welpenmilch-150g.html" TargetMode="External"/><Relationship Id="rId10" Type="http://schemas.openxmlformats.org/officeDocument/2006/relationships/hyperlink" Target="https://latanis.de/xk16vet-natuerliches-zahnreinigungspulver-gebisspflegemittel-ergaenzungsfutter-125g" TargetMode="External"/><Relationship Id="rId4" Type="http://schemas.openxmlformats.org/officeDocument/2006/relationships/hyperlink" Target="https://www.napfcheck-shop.at/produkt/napfcheck-feline-sensitive-naehrstoffergaenzung-fuer-katzen/" TargetMode="External"/><Relationship Id="rId9" Type="http://schemas.openxmlformats.org/officeDocument/2006/relationships/hyperlink" Target="https://www.vetena.de/ReboPharm-LiquiPet-cat" TargetMode="External"/><Relationship Id="rId14" Type="http://schemas.openxmlformats.org/officeDocument/2006/relationships/hyperlink" Target="https://www.vetena.de/TVM-Optima-Pet-Milk"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grau-generationpet.de/00002092/rinderfett-pulver" TargetMode="External"/><Relationship Id="rId13" Type="http://schemas.openxmlformats.org/officeDocument/2006/relationships/printerSettings" Target="../printerSettings/printerSettings2.bin"/><Relationship Id="rId3" Type="http://schemas.openxmlformats.org/officeDocument/2006/relationships/hyperlink" Target="https://www.aniforte.de/products/taurin-pulver-katzen" TargetMode="External"/><Relationship Id="rId7" Type="http://schemas.openxmlformats.org/officeDocument/2006/relationships/hyperlink" Target="https://paul-paulina.com/hunde/zusaetze/kaltgepresste-oele-fischoele-algenoel/943/algenoel?c=175" TargetMode="External"/><Relationship Id="rId12" Type="http://schemas.openxmlformats.org/officeDocument/2006/relationships/hyperlink" Target="https://www.barf-kultur.de/Bio-Apfelessig" TargetMode="External"/><Relationship Id="rId2" Type="http://schemas.openxmlformats.org/officeDocument/2006/relationships/hyperlink" Target="https://www.aniforte.de/products/prebiotic-topinpur-vet" TargetMode="External"/><Relationship Id="rId1" Type="http://schemas.openxmlformats.org/officeDocument/2006/relationships/hyperlink" Target="https://www.grau-generationpet.de/00002012-VATER/knoblauchgranulat" TargetMode="External"/><Relationship Id="rId6" Type="http://schemas.openxmlformats.org/officeDocument/2006/relationships/hyperlink" Target="https://www.perro.at/perro-lachsoel/181872" TargetMode="External"/><Relationship Id="rId11" Type="http://schemas.openxmlformats.org/officeDocument/2006/relationships/hyperlink" Target="https://www.barf-kultur.de/Algenoel-Kapseln" TargetMode="External"/><Relationship Id="rId5" Type="http://schemas.openxmlformats.org/officeDocument/2006/relationships/hyperlink" Target="https://www.vet-concept.at/p/fuer-die-katze-nachtkerzenoel-50ml" TargetMode="External"/><Relationship Id="rId10" Type="http://schemas.openxmlformats.org/officeDocument/2006/relationships/hyperlink" Target="https://www.annimally.at/products/bierhefe-hund-katze-kleintier?_gl=1*19rgle9*_up*MQ..&amp;gclid=Cj0KCQjwo8S3BhDeARIsAFRmkOOkVlIfv6XQGMfHY9rb7s7ecTJjkN20Gmvh4Y3s66WGsIlr4ZT4mcsaAnwnEALw_wcB" TargetMode="External"/><Relationship Id="rId4" Type="http://schemas.openxmlformats.org/officeDocument/2006/relationships/hyperlink" Target="https://www.pahema.com/basics/vitamine/bio-hagebutten.html" TargetMode="External"/><Relationship Id="rId9" Type="http://schemas.openxmlformats.org/officeDocument/2006/relationships/hyperlink" Target="https://www.barf-kultur.de/Forta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618"/>
  <sheetViews>
    <sheetView tabSelected="1" topLeftCell="AT2" zoomScaleNormal="100" workbookViewId="0">
      <pane ySplit="2" topLeftCell="A183" activePane="bottomLeft" state="frozen"/>
      <selection activeCell="D2" sqref="D2"/>
      <selection pane="bottomLeft" activeCell="AW188" sqref="A188:XFD188"/>
    </sheetView>
  </sheetViews>
  <sheetFormatPr baseColWidth="10" defaultColWidth="11.453125" defaultRowHeight="14.5"/>
  <cols>
    <col min="1" max="3" width="11.453125" style="4" hidden="1" customWidth="1"/>
    <col min="4" max="4" width="40.1796875" style="4" customWidth="1"/>
    <col min="5" max="5" width="17" style="4" customWidth="1"/>
    <col min="6" max="6" width="10.54296875" style="4" customWidth="1"/>
    <col min="7" max="7" width="24.453125" style="4" customWidth="1"/>
    <col min="8" max="8" width="4.54296875" style="4" customWidth="1"/>
    <col min="9" max="9" width="3.54296875" style="4" customWidth="1"/>
    <col min="10" max="10" width="2.54296875" style="4" customWidth="1"/>
    <col min="11" max="11" width="7.26953125" style="4" customWidth="1"/>
    <col min="12" max="12" width="28.54296875" style="4" customWidth="1"/>
    <col min="13" max="13" width="9" customWidth="1"/>
    <col min="14" max="14" width="4" customWidth="1"/>
    <col min="15" max="15" width="0.1796875" style="4" customWidth="1"/>
    <col min="16" max="16" width="4.81640625" customWidth="1"/>
    <col min="17" max="17" width="4" style="4" hidden="1" customWidth="1"/>
    <col min="18" max="18" width="4.453125" customWidth="1"/>
    <col min="19" max="19" width="6.7265625" style="4" bestFit="1" customWidth="1"/>
    <col min="20" max="21" width="6.7265625" style="4" customWidth="1"/>
    <col min="22" max="23" width="5.26953125" style="4" bestFit="1" customWidth="1"/>
    <col min="24" max="25" width="5.453125" style="4" bestFit="1" customWidth="1"/>
    <col min="26" max="26" width="5" style="4" bestFit="1" customWidth="1"/>
    <col min="27" max="28" width="5.81640625" style="4" bestFit="1" customWidth="1"/>
    <col min="29" max="30" width="6.7265625" style="4" bestFit="1" customWidth="1"/>
    <col min="31" max="31" width="7.1796875" style="4" customWidth="1"/>
    <col min="32" max="32" width="7.26953125" style="4" customWidth="1"/>
    <col min="33" max="33" width="6.54296875" style="4" customWidth="1"/>
    <col min="34" max="36" width="5.54296875" style="4" hidden="1" customWidth="1"/>
    <col min="37" max="37" width="5.54296875" style="4" customWidth="1"/>
    <col min="38" max="39" width="5.453125" style="4" customWidth="1"/>
    <col min="40" max="40" width="5.81640625" style="4" customWidth="1"/>
    <col min="41" max="41" width="5.81640625" style="4" bestFit="1" customWidth="1"/>
    <col min="42" max="42" width="6.7265625" style="4" bestFit="1" customWidth="1"/>
    <col min="43" max="43" width="5" style="4" bestFit="1" customWidth="1"/>
    <col min="44" max="44" width="7.54296875" style="4" bestFit="1" customWidth="1"/>
    <col min="45" max="45" width="7.453125" style="4" bestFit="1" customWidth="1"/>
    <col min="46" max="46" width="5.1796875" style="4" bestFit="1" customWidth="1"/>
    <col min="47" max="47" width="5.81640625" style="4" bestFit="1" customWidth="1"/>
    <col min="48" max="48" width="6.7265625" style="4" bestFit="1" customWidth="1"/>
    <col min="49" max="49" width="5.81640625" style="4" customWidth="1"/>
    <col min="50" max="50" width="5.453125" style="4" bestFit="1" customWidth="1"/>
    <col min="51" max="51" width="6.1796875" style="4" bestFit="1" customWidth="1"/>
    <col min="52" max="53" width="6.1796875" style="4" customWidth="1"/>
    <col min="54" max="54" width="8.7265625" style="4" customWidth="1"/>
    <col min="55" max="55" width="16.81640625" style="4" customWidth="1"/>
    <col min="56" max="56" width="20.7265625" style="4" customWidth="1"/>
    <col min="57" max="57" width="16.81640625" style="4" customWidth="1"/>
    <col min="58" max="58" width="4.26953125" style="4" customWidth="1"/>
    <col min="59" max="59" width="4" style="4" customWidth="1"/>
    <col min="60" max="60" width="3.54296875" style="4" customWidth="1"/>
    <col min="61" max="61" width="3.26953125" style="4" customWidth="1"/>
    <col min="62" max="62" width="4.81640625" style="4" customWidth="1"/>
    <col min="63" max="63" width="3.7265625" style="4" customWidth="1"/>
    <col min="64" max="64" width="46.81640625" style="4" customWidth="1"/>
    <col min="65" max="16384" width="11.453125" style="4"/>
  </cols>
  <sheetData>
    <row r="1" spans="4:67" s="1" customFormat="1" ht="0.75" hidden="1" customHeight="1">
      <c r="M1" t="s">
        <v>0</v>
      </c>
      <c r="N1" t="s">
        <v>1</v>
      </c>
      <c r="O1" s="2" t="s">
        <v>2</v>
      </c>
      <c r="P1" t="s">
        <v>3</v>
      </c>
      <c r="Q1" s="2" t="s">
        <v>4</v>
      </c>
      <c r="R1" t="s">
        <v>5</v>
      </c>
      <c r="S1" s="2" t="s">
        <v>6</v>
      </c>
      <c r="T1" s="2" t="s">
        <v>7</v>
      </c>
      <c r="U1" s="2"/>
      <c r="V1" s="2" t="s">
        <v>8</v>
      </c>
      <c r="W1" s="2" t="s">
        <v>9</v>
      </c>
      <c r="X1" s="2" t="s">
        <v>10</v>
      </c>
      <c r="Y1" s="2" t="s">
        <v>11</v>
      </c>
      <c r="Z1" s="2" t="s">
        <v>12</v>
      </c>
      <c r="AA1" s="2" t="s">
        <v>13</v>
      </c>
      <c r="AB1" s="2" t="s">
        <v>14</v>
      </c>
      <c r="AC1" s="2" t="s">
        <v>15</v>
      </c>
      <c r="AD1" s="2" t="s">
        <v>16</v>
      </c>
      <c r="AE1" s="2" t="s">
        <v>17</v>
      </c>
      <c r="AF1" s="2"/>
      <c r="AG1" s="2" t="s">
        <v>18</v>
      </c>
      <c r="AH1" s="2"/>
      <c r="AI1" s="3" t="s">
        <v>19</v>
      </c>
      <c r="AJ1" s="2"/>
      <c r="AK1" s="2"/>
      <c r="AL1" s="2" t="s">
        <v>20</v>
      </c>
      <c r="AM1" s="2"/>
      <c r="AN1" s="2" t="s">
        <v>21</v>
      </c>
      <c r="AO1" s="2" t="s">
        <v>22</v>
      </c>
      <c r="AP1" s="2" t="s">
        <v>23</v>
      </c>
      <c r="AQ1" s="2" t="s">
        <v>24</v>
      </c>
      <c r="AR1" s="2" t="s">
        <v>25</v>
      </c>
      <c r="AS1" s="2" t="s">
        <v>26</v>
      </c>
      <c r="AT1" s="2" t="s">
        <v>27</v>
      </c>
      <c r="AU1" s="2" t="s">
        <v>28</v>
      </c>
      <c r="AV1" s="2" t="s">
        <v>29</v>
      </c>
      <c r="AW1" s="3" t="s">
        <v>30</v>
      </c>
      <c r="AX1" s="2" t="s">
        <v>31</v>
      </c>
      <c r="AY1" s="2" t="s">
        <v>32</v>
      </c>
      <c r="AZ1" s="2"/>
      <c r="BA1" s="2"/>
      <c r="BB1" s="2"/>
      <c r="BC1" s="2"/>
      <c r="BD1" s="2"/>
      <c r="BE1" s="2"/>
      <c r="BF1" s="2"/>
      <c r="BG1" s="2"/>
      <c r="BH1" s="2"/>
      <c r="BI1" s="2"/>
      <c r="BJ1" s="2"/>
      <c r="BK1" s="2"/>
      <c r="BL1" s="4"/>
    </row>
    <row r="2" spans="4:67" ht="11.25" customHeight="1" thickBot="1">
      <c r="D2" s="1">
        <v>1</v>
      </c>
      <c r="E2" s="1">
        <v>2</v>
      </c>
      <c r="F2" s="1">
        <v>3</v>
      </c>
      <c r="G2" s="1">
        <v>4</v>
      </c>
      <c r="H2" s="1">
        <v>5</v>
      </c>
      <c r="I2" s="1">
        <v>6</v>
      </c>
      <c r="J2" s="1">
        <v>7</v>
      </c>
      <c r="K2" s="1">
        <v>8</v>
      </c>
      <c r="L2" s="1">
        <v>9</v>
      </c>
      <c r="M2" s="1">
        <v>14</v>
      </c>
      <c r="N2" s="1">
        <v>15</v>
      </c>
      <c r="O2" s="1">
        <v>16</v>
      </c>
      <c r="P2" s="1">
        <v>17</v>
      </c>
      <c r="Q2" s="1">
        <v>18</v>
      </c>
      <c r="R2" s="1">
        <v>19</v>
      </c>
      <c r="S2" s="1">
        <v>64</v>
      </c>
      <c r="T2" s="1">
        <v>65</v>
      </c>
      <c r="U2" s="1"/>
      <c r="V2" s="1">
        <v>66</v>
      </c>
      <c r="W2" s="1">
        <v>67</v>
      </c>
      <c r="X2" s="1">
        <v>68</v>
      </c>
      <c r="Y2" s="1">
        <v>69</v>
      </c>
      <c r="Z2" s="1">
        <v>70</v>
      </c>
      <c r="AA2" s="1">
        <v>71</v>
      </c>
      <c r="AB2" s="1">
        <v>72</v>
      </c>
      <c r="AC2" s="1">
        <v>73</v>
      </c>
      <c r="AD2" s="1">
        <v>74</v>
      </c>
      <c r="AE2" s="1">
        <v>75</v>
      </c>
      <c r="AF2" s="1">
        <v>76</v>
      </c>
      <c r="AG2" s="1">
        <v>77</v>
      </c>
      <c r="AH2" s="1">
        <v>78</v>
      </c>
      <c r="AI2" s="1">
        <v>79</v>
      </c>
      <c r="AJ2" s="1">
        <v>80</v>
      </c>
      <c r="AK2" s="1">
        <v>81</v>
      </c>
      <c r="AL2" s="1">
        <v>82</v>
      </c>
      <c r="AM2" s="1">
        <v>83</v>
      </c>
      <c r="AN2" s="1">
        <v>84</v>
      </c>
      <c r="AO2" s="1">
        <v>85</v>
      </c>
      <c r="AP2" s="1">
        <v>86</v>
      </c>
      <c r="AQ2" s="1">
        <v>87</v>
      </c>
      <c r="AR2" s="1">
        <v>88</v>
      </c>
      <c r="AS2" s="1">
        <v>89</v>
      </c>
      <c r="AT2" s="1">
        <v>90</v>
      </c>
      <c r="AU2" s="1">
        <v>91</v>
      </c>
      <c r="AV2" s="1">
        <v>92</v>
      </c>
      <c r="AW2" s="1">
        <v>93</v>
      </c>
      <c r="AX2" s="1">
        <v>94</v>
      </c>
      <c r="AY2" s="1">
        <v>95</v>
      </c>
      <c r="AZ2" s="1"/>
      <c r="BA2" s="1">
        <v>96</v>
      </c>
      <c r="BB2" s="1"/>
      <c r="BC2" s="1">
        <v>97</v>
      </c>
      <c r="BD2" s="1">
        <v>98</v>
      </c>
      <c r="BE2" s="1">
        <v>99</v>
      </c>
      <c r="BF2" s="1">
        <v>100</v>
      </c>
      <c r="BG2" s="1">
        <v>101</v>
      </c>
      <c r="BH2" s="1">
        <v>102</v>
      </c>
      <c r="BI2" s="1">
        <v>103</v>
      </c>
      <c r="BJ2" s="1">
        <v>104</v>
      </c>
      <c r="BK2" s="1">
        <v>105</v>
      </c>
      <c r="BL2" s="4">
        <v>106</v>
      </c>
    </row>
    <row r="3" spans="4:67" s="16" customFormat="1" ht="117.75" customHeight="1" thickTop="1" thickBot="1">
      <c r="D3" s="5" t="s">
        <v>33</v>
      </c>
      <c r="E3" s="6" t="s">
        <v>34</v>
      </c>
      <c r="F3" s="6" t="s">
        <v>35</v>
      </c>
      <c r="G3" s="7" t="s">
        <v>36</v>
      </c>
      <c r="H3" s="8" t="s">
        <v>37</v>
      </c>
      <c r="I3" s="8" t="s">
        <v>38</v>
      </c>
      <c r="J3" s="8" t="s">
        <v>39</v>
      </c>
      <c r="K3" s="8" t="s">
        <v>40</v>
      </c>
      <c r="L3" s="7" t="s">
        <v>41</v>
      </c>
      <c r="M3" s="10" t="s">
        <v>42</v>
      </c>
      <c r="N3" s="10" t="s">
        <v>43</v>
      </c>
      <c r="O3" s="10" t="s">
        <v>43</v>
      </c>
      <c r="P3" s="10" t="s">
        <v>45</v>
      </c>
      <c r="Q3" s="10" t="s">
        <v>46</v>
      </c>
      <c r="R3" s="10" t="s">
        <v>47</v>
      </c>
      <c r="S3" s="8" t="s">
        <v>48</v>
      </c>
      <c r="T3" s="8" t="s">
        <v>49</v>
      </c>
      <c r="U3" s="8" t="s">
        <v>3272</v>
      </c>
      <c r="V3" s="8" t="s">
        <v>50</v>
      </c>
      <c r="W3" s="8" t="s">
        <v>51</v>
      </c>
      <c r="X3" s="8" t="s">
        <v>52</v>
      </c>
      <c r="Y3" s="8" t="s">
        <v>53</v>
      </c>
      <c r="Z3" s="8" t="s">
        <v>54</v>
      </c>
      <c r="AA3" s="8" t="s">
        <v>55</v>
      </c>
      <c r="AB3" s="8" t="s">
        <v>56</v>
      </c>
      <c r="AC3" s="8" t="s">
        <v>57</v>
      </c>
      <c r="AD3" s="8" t="s">
        <v>58</v>
      </c>
      <c r="AE3" s="8" t="s">
        <v>59</v>
      </c>
      <c r="AF3" s="8" t="s">
        <v>60</v>
      </c>
      <c r="AG3" s="8" t="s">
        <v>61</v>
      </c>
      <c r="AH3" s="8" t="s">
        <v>62</v>
      </c>
      <c r="AI3" s="8" t="s">
        <v>63</v>
      </c>
      <c r="AJ3" s="8" t="s">
        <v>64</v>
      </c>
      <c r="AK3" s="8" t="s">
        <v>65</v>
      </c>
      <c r="AL3" s="8" t="s">
        <v>66</v>
      </c>
      <c r="AM3" s="8" t="s">
        <v>67</v>
      </c>
      <c r="AN3" s="8" t="s">
        <v>68</v>
      </c>
      <c r="AO3" s="8" t="s">
        <v>69</v>
      </c>
      <c r="AP3" s="8" t="s">
        <v>70</v>
      </c>
      <c r="AQ3" s="8" t="s">
        <v>71</v>
      </c>
      <c r="AR3" s="8" t="s">
        <v>72</v>
      </c>
      <c r="AS3" s="8" t="s">
        <v>73</v>
      </c>
      <c r="AT3" s="8" t="s">
        <v>74</v>
      </c>
      <c r="AU3" s="8" t="s">
        <v>75</v>
      </c>
      <c r="AV3" s="8" t="s">
        <v>76</v>
      </c>
      <c r="AW3" s="8" t="s">
        <v>77</v>
      </c>
      <c r="AX3" s="8" t="s">
        <v>78</v>
      </c>
      <c r="AY3" s="8" t="s">
        <v>79</v>
      </c>
      <c r="AZ3" s="8" t="s">
        <v>107</v>
      </c>
      <c r="BA3" s="9" t="s">
        <v>80</v>
      </c>
      <c r="BB3" s="9" t="s">
        <v>117</v>
      </c>
      <c r="BC3" s="12" t="s">
        <v>81</v>
      </c>
      <c r="BD3" s="12" t="s">
        <v>82</v>
      </c>
      <c r="BE3" s="12" t="s">
        <v>83</v>
      </c>
      <c r="BF3" s="13" t="s">
        <v>84</v>
      </c>
      <c r="BG3" s="14" t="s">
        <v>85</v>
      </c>
      <c r="BH3" s="14"/>
      <c r="BI3" s="14" t="s">
        <v>86</v>
      </c>
      <c r="BJ3" s="14" t="s">
        <v>87</v>
      </c>
      <c r="BK3" s="15" t="s">
        <v>88</v>
      </c>
      <c r="BL3" s="12" t="s">
        <v>89</v>
      </c>
      <c r="BM3" s="12" t="s">
        <v>94</v>
      </c>
    </row>
    <row r="4" spans="4:67" ht="15" thickTop="1">
      <c r="D4" s="17" t="str">
        <f t="shared" ref="D4:D35" si="0">E4&amp;""&amp;F4&amp;""&amp;G4&amp;""&amp;H4</f>
        <v>ErgänzungsfuttermittelKatzeVitamin-Spurenelement-Präparat</v>
      </c>
      <c r="E4" s="4" t="s">
        <v>91</v>
      </c>
      <c r="F4" s="19" t="s">
        <v>90</v>
      </c>
      <c r="G4" s="4" t="s">
        <v>2902</v>
      </c>
      <c r="L4" s="4" t="s">
        <v>104</v>
      </c>
      <c r="M4">
        <f>BF4</f>
        <v>5.7</v>
      </c>
      <c r="N4">
        <f>BG4</f>
        <v>10.3</v>
      </c>
      <c r="P4">
        <f>BI4</f>
        <v>5.8</v>
      </c>
      <c r="Q4"/>
      <c r="R4">
        <f>BK4</f>
        <v>1.4</v>
      </c>
      <c r="S4" s="4">
        <v>1300</v>
      </c>
      <c r="T4" s="4">
        <v>1000</v>
      </c>
      <c r="U4" s="33">
        <f>IF(S4="","",S4/T4)</f>
        <v>1.3</v>
      </c>
      <c r="V4" s="4">
        <v>1000</v>
      </c>
      <c r="W4" s="4">
        <v>1300</v>
      </c>
      <c r="X4" s="4">
        <v>100</v>
      </c>
      <c r="Z4" s="4">
        <v>210</v>
      </c>
      <c r="AC4" s="4">
        <v>10</v>
      </c>
      <c r="AF4" s="4">
        <f t="shared" ref="AF4:AF13" si="1">AG4*$BO$13</f>
        <v>4500</v>
      </c>
      <c r="AG4" s="4">
        <v>15000</v>
      </c>
      <c r="AK4" s="4">
        <v>1500</v>
      </c>
      <c r="AL4" s="4">
        <f>AK4*$BO$14</f>
        <v>37.5</v>
      </c>
      <c r="AN4" s="4">
        <v>300</v>
      </c>
      <c r="AO4" s="4">
        <v>3</v>
      </c>
      <c r="AP4" s="4">
        <v>75</v>
      </c>
      <c r="AQ4" s="4">
        <v>3</v>
      </c>
      <c r="AR4" s="4">
        <v>150</v>
      </c>
      <c r="AT4" s="4">
        <v>50</v>
      </c>
      <c r="AU4" s="4">
        <v>30</v>
      </c>
      <c r="AV4" s="4">
        <v>600</v>
      </c>
      <c r="AW4" s="4">
        <v>300</v>
      </c>
      <c r="AY4" s="4">
        <v>1000</v>
      </c>
      <c r="AZ4" s="4">
        <v>160</v>
      </c>
      <c r="BA4" s="4">
        <v>96.96</v>
      </c>
      <c r="BC4" s="4" t="s">
        <v>104</v>
      </c>
      <c r="BD4" s="4" t="s">
        <v>105</v>
      </c>
      <c r="BE4" s="4" t="s">
        <v>91</v>
      </c>
      <c r="BF4" s="4">
        <v>5.7</v>
      </c>
      <c r="BG4" s="4">
        <v>10.3</v>
      </c>
      <c r="BI4" s="4">
        <v>5.8</v>
      </c>
      <c r="BK4" s="4">
        <v>1.4</v>
      </c>
      <c r="BL4" s="4" t="s">
        <v>106</v>
      </c>
      <c r="BM4" s="30" t="s">
        <v>113</v>
      </c>
    </row>
    <row r="5" spans="4:67">
      <c r="D5" s="17" t="str">
        <f t="shared" si="0"/>
        <v>ErgänzungsfuttermittelKatzeVitamin-Spurenelement-Präparat</v>
      </c>
      <c r="E5" s="4" t="s">
        <v>91</v>
      </c>
      <c r="F5" s="19" t="s">
        <v>90</v>
      </c>
      <c r="G5" s="4" t="s">
        <v>2902</v>
      </c>
      <c r="L5" s="4" t="s">
        <v>3229</v>
      </c>
      <c r="M5">
        <f>BF5</f>
        <v>19.5</v>
      </c>
      <c r="N5">
        <f>BG5</f>
        <v>34.4</v>
      </c>
      <c r="P5">
        <f>BI5</f>
        <v>4.5</v>
      </c>
      <c r="Q5"/>
      <c r="R5">
        <f>BK5</f>
        <v>1.7</v>
      </c>
      <c r="S5" s="4">
        <v>4490</v>
      </c>
      <c r="T5" s="4">
        <v>2200</v>
      </c>
      <c r="U5" s="33">
        <f t="shared" ref="U5:U68" si="2">IF(S5="","",S5/T5)</f>
        <v>2.040909090909091</v>
      </c>
      <c r="V5" s="4">
        <v>250</v>
      </c>
      <c r="W5" s="4">
        <v>2000</v>
      </c>
      <c r="Z5" s="4">
        <v>370</v>
      </c>
      <c r="AA5" s="4">
        <v>7.5</v>
      </c>
      <c r="AB5" s="4">
        <v>30</v>
      </c>
      <c r="AC5" s="4">
        <v>25</v>
      </c>
      <c r="AD5" s="4">
        <v>1200</v>
      </c>
      <c r="AE5" s="4">
        <v>50</v>
      </c>
      <c r="AF5" s="4">
        <f t="shared" si="1"/>
        <v>6000</v>
      </c>
      <c r="AG5" s="4">
        <v>20000</v>
      </c>
      <c r="AK5" s="4">
        <v>1000</v>
      </c>
      <c r="AL5" s="4">
        <f t="shared" ref="AL5:AL7" si="3">AK5*$BO$14</f>
        <v>25</v>
      </c>
      <c r="AN5" s="4">
        <v>150</v>
      </c>
      <c r="AO5" s="4">
        <v>40</v>
      </c>
      <c r="AP5" s="4">
        <v>26</v>
      </c>
      <c r="AQ5" s="4">
        <v>16</v>
      </c>
      <c r="AR5" s="4">
        <v>100</v>
      </c>
      <c r="AS5" s="4">
        <v>600</v>
      </c>
      <c r="AT5" s="4">
        <v>190</v>
      </c>
      <c r="AU5" s="4">
        <v>50</v>
      </c>
      <c r="AV5" s="4">
        <v>4000</v>
      </c>
      <c r="AY5" s="4">
        <v>300</v>
      </c>
      <c r="AZ5" s="4">
        <v>1000</v>
      </c>
      <c r="BA5" s="4">
        <v>49.5</v>
      </c>
      <c r="BB5" s="4">
        <v>1</v>
      </c>
      <c r="BC5" s="4" t="s">
        <v>3230</v>
      </c>
      <c r="BD5" s="4" t="s">
        <v>442</v>
      </c>
      <c r="BE5" s="4" t="s">
        <v>91</v>
      </c>
      <c r="BF5" s="4">
        <v>19.5</v>
      </c>
      <c r="BG5" s="4">
        <v>34.4</v>
      </c>
      <c r="BI5" s="4">
        <v>4.5</v>
      </c>
      <c r="BK5" s="4">
        <v>1.7</v>
      </c>
      <c r="BL5" s="4" t="s">
        <v>3232</v>
      </c>
      <c r="BM5" s="4" t="s">
        <v>3231</v>
      </c>
    </row>
    <row r="6" spans="4:67">
      <c r="D6" s="17" t="str">
        <f t="shared" si="0"/>
        <v>ErgänzungsfuttermittelKatzeVitamin-Spurenelement-Präparat</v>
      </c>
      <c r="E6" s="4" t="s">
        <v>91</v>
      </c>
      <c r="F6" s="19" t="s">
        <v>90</v>
      </c>
      <c r="G6" s="4" t="s">
        <v>2902</v>
      </c>
      <c r="L6" s="4" t="s">
        <v>3220</v>
      </c>
      <c r="M6">
        <f t="shared" ref="M6:M7" si="4">BF6</f>
        <v>7.5</v>
      </c>
      <c r="N6">
        <f t="shared" ref="N6:N7" si="5">BG6</f>
        <v>15.3</v>
      </c>
      <c r="P6">
        <f t="shared" ref="P6:P7" si="6">BI6</f>
        <v>2.4</v>
      </c>
      <c r="Q6"/>
      <c r="R6">
        <f t="shared" ref="R6:R7" si="7">BK6</f>
        <v>1.6</v>
      </c>
      <c r="U6" s="33" t="str">
        <f t="shared" si="2"/>
        <v/>
      </c>
      <c r="AB6" s="4">
        <v>300</v>
      </c>
      <c r="AF6" s="4">
        <f t="shared" si="1"/>
        <v>0</v>
      </c>
      <c r="AL6" s="4">
        <f t="shared" si="3"/>
        <v>0</v>
      </c>
      <c r="AN6" s="4">
        <v>250</v>
      </c>
      <c r="AO6" s="4">
        <v>120</v>
      </c>
      <c r="AP6" s="4">
        <v>80</v>
      </c>
      <c r="AQ6" s="4">
        <v>100</v>
      </c>
      <c r="AR6" s="4">
        <v>600</v>
      </c>
      <c r="AS6" s="4">
        <v>110000</v>
      </c>
      <c r="AU6" s="4">
        <v>150</v>
      </c>
      <c r="BA6" s="4">
        <v>78.5</v>
      </c>
      <c r="BB6" s="4">
        <v>0.8</v>
      </c>
      <c r="BC6" s="4" t="s">
        <v>3220</v>
      </c>
      <c r="BD6" s="4" t="s">
        <v>442</v>
      </c>
      <c r="BE6" s="4" t="s">
        <v>91</v>
      </c>
      <c r="BF6" s="4">
        <v>7.5</v>
      </c>
      <c r="BG6" s="4">
        <v>15.3</v>
      </c>
      <c r="BI6" s="4">
        <v>2.4</v>
      </c>
      <c r="BK6" s="4">
        <v>1.6</v>
      </c>
      <c r="BL6" s="4" t="s">
        <v>3222</v>
      </c>
      <c r="BM6" s="4" t="s">
        <v>3221</v>
      </c>
    </row>
    <row r="7" spans="4:67">
      <c r="D7" s="17" t="str">
        <f t="shared" si="0"/>
        <v>ErgänzungsfuttermittelKatzeVitamin-Spurenelement-Präparat</v>
      </c>
      <c r="E7" s="4" t="s">
        <v>91</v>
      </c>
      <c r="F7" s="19" t="s">
        <v>90</v>
      </c>
      <c r="G7" s="4" t="s">
        <v>2902</v>
      </c>
      <c r="L7" s="4" t="s">
        <v>3226</v>
      </c>
      <c r="M7">
        <f t="shared" si="4"/>
        <v>18.5</v>
      </c>
      <c r="N7">
        <f t="shared" si="5"/>
        <v>32.9</v>
      </c>
      <c r="P7">
        <f t="shared" si="6"/>
        <v>4.3</v>
      </c>
      <c r="Q7"/>
      <c r="R7">
        <f t="shared" si="7"/>
        <v>3.7</v>
      </c>
      <c r="U7" s="33" t="str">
        <f t="shared" si="2"/>
        <v/>
      </c>
      <c r="Z7" s="4">
        <v>300</v>
      </c>
      <c r="AF7" s="4">
        <f t="shared" si="1"/>
        <v>0</v>
      </c>
      <c r="AL7" s="4">
        <f t="shared" si="3"/>
        <v>0</v>
      </c>
      <c r="AN7" s="4">
        <v>1000</v>
      </c>
      <c r="AO7" s="4">
        <v>16</v>
      </c>
      <c r="AQ7" s="4">
        <v>50</v>
      </c>
      <c r="AR7" s="4">
        <v>240</v>
      </c>
      <c r="AS7" s="4">
        <v>2000</v>
      </c>
      <c r="AT7" s="4">
        <v>100</v>
      </c>
      <c r="AW7" s="4">
        <v>500</v>
      </c>
      <c r="AZ7" s="4">
        <v>2500</v>
      </c>
      <c r="BA7" s="4">
        <v>74</v>
      </c>
      <c r="BB7" s="4">
        <v>4.5</v>
      </c>
      <c r="BC7" s="4" t="s">
        <v>3226</v>
      </c>
      <c r="BD7" s="4" t="s">
        <v>442</v>
      </c>
      <c r="BE7" s="4" t="s">
        <v>91</v>
      </c>
      <c r="BF7" s="4">
        <v>18.5</v>
      </c>
      <c r="BG7" s="4">
        <v>32.9</v>
      </c>
      <c r="BI7" s="4">
        <v>4.3</v>
      </c>
      <c r="BK7" s="4">
        <v>3.7</v>
      </c>
      <c r="BL7" s="4" t="s">
        <v>3228</v>
      </c>
      <c r="BM7" s="4" t="s">
        <v>3227</v>
      </c>
    </row>
    <row r="8" spans="4:67">
      <c r="D8" s="17" t="str">
        <f t="shared" si="0"/>
        <v>ErgänzungsfuttermittelKatzeVitamin-Spurenelement-Präparat</v>
      </c>
      <c r="E8" s="4" t="s">
        <v>91</v>
      </c>
      <c r="F8" s="19" t="s">
        <v>90</v>
      </c>
      <c r="G8" s="4" t="s">
        <v>2902</v>
      </c>
      <c r="L8" s="4" t="s">
        <v>3153</v>
      </c>
      <c r="M8">
        <f t="shared" ref="M8:M37" si="8">BF8</f>
        <v>2</v>
      </c>
      <c r="N8">
        <f t="shared" ref="N8:N37" si="9">BG8</f>
        <v>2.5</v>
      </c>
      <c r="P8">
        <f t="shared" ref="P8:P39" si="10">BI8</f>
        <v>4.5999999999999996</v>
      </c>
      <c r="Q8"/>
      <c r="R8">
        <f t="shared" ref="R8:R39" si="11">BK8</f>
        <v>0.4</v>
      </c>
      <c r="S8" s="4">
        <v>900</v>
      </c>
      <c r="T8" s="4">
        <v>70</v>
      </c>
      <c r="U8" s="33">
        <f t="shared" si="2"/>
        <v>12.857142857142858</v>
      </c>
      <c r="W8" s="4">
        <v>100</v>
      </c>
      <c r="X8" s="4">
        <v>120</v>
      </c>
      <c r="Z8" s="4">
        <v>1.1499999999999999</v>
      </c>
      <c r="AB8" s="4">
        <v>0.7</v>
      </c>
      <c r="AC8" s="4">
        <v>10</v>
      </c>
      <c r="AF8" s="4">
        <f t="shared" si="1"/>
        <v>45</v>
      </c>
      <c r="AG8" s="4">
        <v>150</v>
      </c>
      <c r="AK8" s="4">
        <v>165</v>
      </c>
      <c r="AL8" s="4">
        <f t="shared" ref="AL8:AL72" si="12">AK8*$BO$14</f>
        <v>4.125</v>
      </c>
      <c r="AN8" s="4">
        <v>6</v>
      </c>
      <c r="AO8" s="4">
        <v>0.5</v>
      </c>
      <c r="AP8" s="4">
        <v>0.75</v>
      </c>
      <c r="AS8" s="4">
        <v>6</v>
      </c>
      <c r="AY8" s="4">
        <v>40</v>
      </c>
      <c r="AZ8" s="4">
        <v>138</v>
      </c>
      <c r="BA8" s="4">
        <v>98.61</v>
      </c>
      <c r="BB8" s="4">
        <v>10</v>
      </c>
      <c r="BC8" s="4" t="s">
        <v>3153</v>
      </c>
      <c r="BD8" s="4" t="s">
        <v>100</v>
      </c>
      <c r="BE8" s="4" t="s">
        <v>91</v>
      </c>
      <c r="BF8" s="4">
        <v>2</v>
      </c>
      <c r="BG8" s="4">
        <v>2.5</v>
      </c>
      <c r="BI8" s="4">
        <v>4.5999999999999996</v>
      </c>
      <c r="BK8" s="4">
        <v>0.4</v>
      </c>
      <c r="BL8" s="4" t="s">
        <v>3154</v>
      </c>
      <c r="BM8" s="4" t="s">
        <v>3155</v>
      </c>
    </row>
    <row r="9" spans="4:67">
      <c r="D9" s="17" t="str">
        <f t="shared" si="0"/>
        <v>ErgänzungsfuttermittelKatzeVitamin-Spurenelement-Präparat</v>
      </c>
      <c r="E9" s="4" t="s">
        <v>91</v>
      </c>
      <c r="F9" s="19" t="s">
        <v>90</v>
      </c>
      <c r="G9" s="4" t="s">
        <v>2902</v>
      </c>
      <c r="L9" s="4" t="s">
        <v>3119</v>
      </c>
      <c r="M9">
        <f t="shared" si="8"/>
        <v>6</v>
      </c>
      <c r="N9">
        <f t="shared" si="9"/>
        <v>13.7</v>
      </c>
      <c r="P9">
        <f t="shared" si="10"/>
        <v>10.4</v>
      </c>
      <c r="Q9"/>
      <c r="R9">
        <f t="shared" si="11"/>
        <v>13.3</v>
      </c>
      <c r="U9" s="33" t="str">
        <f t="shared" si="2"/>
        <v/>
      </c>
      <c r="W9" s="4">
        <v>2</v>
      </c>
      <c r="X9" s="4">
        <v>170</v>
      </c>
      <c r="AE9" s="4">
        <v>800</v>
      </c>
      <c r="AF9" s="4">
        <f t="shared" si="1"/>
        <v>0</v>
      </c>
      <c r="AL9" s="4">
        <f t="shared" si="12"/>
        <v>0</v>
      </c>
      <c r="AN9" s="4">
        <v>240</v>
      </c>
      <c r="AP9" s="4">
        <v>28</v>
      </c>
      <c r="AR9" s="4">
        <v>16</v>
      </c>
      <c r="AS9" s="4">
        <v>800</v>
      </c>
      <c r="AW9" s="4">
        <v>400</v>
      </c>
      <c r="AY9" s="4">
        <v>960</v>
      </c>
      <c r="BA9" s="4">
        <v>266.25</v>
      </c>
      <c r="BB9" s="4">
        <v>0.7</v>
      </c>
      <c r="BC9" s="4" t="s">
        <v>3119</v>
      </c>
      <c r="BD9" s="4" t="s">
        <v>100</v>
      </c>
      <c r="BE9" s="4" t="s">
        <v>91</v>
      </c>
      <c r="BF9" s="4">
        <v>6</v>
      </c>
      <c r="BG9" s="4">
        <v>13.7</v>
      </c>
      <c r="BI9" s="4">
        <v>10.4</v>
      </c>
      <c r="BK9" s="4">
        <v>13.3</v>
      </c>
      <c r="BL9" s="4" t="s">
        <v>3121</v>
      </c>
      <c r="BM9" s="4" t="s">
        <v>3120</v>
      </c>
    </row>
    <row r="10" spans="4:67">
      <c r="D10" s="17" t="str">
        <f t="shared" si="0"/>
        <v>ErgänzungsfuttermittelKatzeVitamin-Spurenelement-Präparat</v>
      </c>
      <c r="E10" s="4" t="s">
        <v>91</v>
      </c>
      <c r="F10" s="19" t="s">
        <v>90</v>
      </c>
      <c r="G10" s="4" t="s">
        <v>2902</v>
      </c>
      <c r="L10" s="4" t="s">
        <v>3233</v>
      </c>
      <c r="M10">
        <f t="shared" si="8"/>
        <v>6.9</v>
      </c>
      <c r="N10">
        <f t="shared" si="9"/>
        <v>47.8</v>
      </c>
      <c r="P10">
        <f t="shared" si="10"/>
        <v>3.9</v>
      </c>
      <c r="Q10"/>
      <c r="R10">
        <f t="shared" si="11"/>
        <v>1.7</v>
      </c>
      <c r="U10" s="33" t="str">
        <f t="shared" si="2"/>
        <v/>
      </c>
      <c r="AB10" s="4">
        <v>25</v>
      </c>
      <c r="AO10" s="4">
        <v>100</v>
      </c>
      <c r="AR10" s="4">
        <v>500</v>
      </c>
      <c r="AS10" s="4">
        <v>20000</v>
      </c>
      <c r="BA10" s="4">
        <v>38.78</v>
      </c>
      <c r="BB10" s="4">
        <v>1</v>
      </c>
      <c r="BC10" s="4" t="s">
        <v>3233</v>
      </c>
      <c r="BD10" s="4" t="s">
        <v>442</v>
      </c>
      <c r="BE10" s="4" t="s">
        <v>91</v>
      </c>
      <c r="BF10" s="4">
        <v>6.9</v>
      </c>
      <c r="BG10" s="4">
        <v>47.8</v>
      </c>
      <c r="BI10" s="4">
        <v>3.9</v>
      </c>
      <c r="BK10" s="4">
        <v>1.7</v>
      </c>
      <c r="BL10" s="4" t="s">
        <v>3235</v>
      </c>
      <c r="BM10" s="4" t="s">
        <v>3234</v>
      </c>
    </row>
    <row r="11" spans="4:67">
      <c r="D11" s="17" t="str">
        <f t="shared" si="0"/>
        <v>ErgänzungsfuttermittelKatzeVitamin-Spurenelement-Präparat</v>
      </c>
      <c r="E11" s="4" t="s">
        <v>91</v>
      </c>
      <c r="F11" s="19" t="s">
        <v>90</v>
      </c>
      <c r="G11" s="4" t="s">
        <v>2902</v>
      </c>
      <c r="L11" s="4" t="s">
        <v>3098</v>
      </c>
      <c r="M11">
        <f t="shared" si="8"/>
        <v>14.3</v>
      </c>
      <c r="N11">
        <f t="shared" si="9"/>
        <v>32.1</v>
      </c>
      <c r="P11">
        <f t="shared" si="10"/>
        <v>12.1</v>
      </c>
      <c r="Q11"/>
      <c r="R11">
        <f t="shared" si="11"/>
        <v>5.8</v>
      </c>
      <c r="U11" s="33" t="str">
        <f t="shared" si="2"/>
        <v/>
      </c>
      <c r="W11" s="4">
        <v>1330</v>
      </c>
      <c r="X11" s="4">
        <v>1720</v>
      </c>
      <c r="Z11" s="4">
        <v>62.4</v>
      </c>
      <c r="AA11" s="4">
        <v>3.2</v>
      </c>
      <c r="AB11" s="4">
        <v>24</v>
      </c>
      <c r="AC11" s="4">
        <v>24</v>
      </c>
      <c r="AE11" s="4">
        <v>230</v>
      </c>
      <c r="AF11" s="4">
        <f t="shared" si="1"/>
        <v>1500</v>
      </c>
      <c r="AG11" s="4">
        <v>5000</v>
      </c>
      <c r="AK11" s="4">
        <v>500</v>
      </c>
      <c r="AL11" s="4">
        <f t="shared" si="12"/>
        <v>12.5</v>
      </c>
      <c r="AN11" s="4">
        <v>158</v>
      </c>
      <c r="AO11" s="4">
        <v>8.3000000000000007</v>
      </c>
      <c r="AP11" s="4">
        <v>21.5</v>
      </c>
      <c r="AQ11" s="4">
        <v>17.8</v>
      </c>
      <c r="AR11" s="4">
        <v>139.30000000000001</v>
      </c>
      <c r="AS11" s="4">
        <v>353</v>
      </c>
      <c r="AT11" s="4">
        <v>90</v>
      </c>
      <c r="AU11" s="4">
        <v>45</v>
      </c>
      <c r="AV11" s="4">
        <v>3380</v>
      </c>
      <c r="AW11" s="4">
        <v>220</v>
      </c>
      <c r="AX11" s="4">
        <v>14.5</v>
      </c>
      <c r="BA11" s="4">
        <v>298.87</v>
      </c>
      <c r="BB11" s="4">
        <v>3.1</v>
      </c>
      <c r="BC11" s="4" t="s">
        <v>3100</v>
      </c>
      <c r="BD11" s="4" t="s">
        <v>3091</v>
      </c>
      <c r="BE11" s="4" t="s">
        <v>91</v>
      </c>
      <c r="BF11" s="4">
        <v>14.3</v>
      </c>
      <c r="BG11" s="4">
        <v>32.1</v>
      </c>
      <c r="BI11" s="4">
        <v>12.1</v>
      </c>
      <c r="BK11" s="4">
        <v>5.8</v>
      </c>
      <c r="BL11" s="4" t="s">
        <v>3101</v>
      </c>
      <c r="BM11" s="4" t="s">
        <v>3102</v>
      </c>
    </row>
    <row r="12" spans="4:67" ht="15" thickBot="1">
      <c r="D12" s="17" t="str">
        <f t="shared" si="0"/>
        <v>ErgänzungsfuttermittelKatzeVitamin-Spurenelement-Präparat</v>
      </c>
      <c r="E12" s="4" t="s">
        <v>91</v>
      </c>
      <c r="F12" s="19" t="s">
        <v>90</v>
      </c>
      <c r="G12" s="4" t="s">
        <v>2902</v>
      </c>
      <c r="L12" s="4" t="s">
        <v>3099</v>
      </c>
      <c r="M12">
        <f t="shared" si="8"/>
        <v>11.1</v>
      </c>
      <c r="N12">
        <f t="shared" si="9"/>
        <v>41.1</v>
      </c>
      <c r="P12">
        <f t="shared" si="10"/>
        <v>14.8</v>
      </c>
      <c r="Q12"/>
      <c r="R12">
        <f t="shared" si="11"/>
        <v>2.1</v>
      </c>
      <c r="U12" s="33" t="str">
        <f t="shared" si="2"/>
        <v/>
      </c>
      <c r="AA12" s="4">
        <v>12</v>
      </c>
      <c r="AB12" s="4">
        <v>90</v>
      </c>
      <c r="AC12" s="4">
        <v>90</v>
      </c>
      <c r="AE12" s="4">
        <v>860</v>
      </c>
      <c r="AF12" s="4">
        <f t="shared" si="1"/>
        <v>0</v>
      </c>
      <c r="AL12" s="4">
        <f t="shared" si="12"/>
        <v>0</v>
      </c>
      <c r="AO12" s="4">
        <v>32.5</v>
      </c>
      <c r="AP12" s="4">
        <v>84</v>
      </c>
      <c r="AQ12" s="4">
        <v>67</v>
      </c>
      <c r="AR12" s="4">
        <v>522</v>
      </c>
      <c r="AS12" s="4">
        <v>1320</v>
      </c>
      <c r="AT12" s="4">
        <v>340</v>
      </c>
      <c r="AU12" s="4">
        <v>200</v>
      </c>
      <c r="AV12" s="4">
        <v>12500</v>
      </c>
      <c r="AW12" s="4">
        <v>825</v>
      </c>
      <c r="BA12" s="4">
        <v>211.83</v>
      </c>
      <c r="BB12" s="4">
        <v>0.75</v>
      </c>
      <c r="BC12" s="4" t="s">
        <v>3090</v>
      </c>
      <c r="BD12" s="4" t="s">
        <v>3091</v>
      </c>
      <c r="BE12" s="4" t="s">
        <v>91</v>
      </c>
      <c r="BF12" s="4">
        <v>11.1</v>
      </c>
      <c r="BG12" s="4">
        <v>41.1</v>
      </c>
      <c r="BI12" s="4">
        <v>14.8</v>
      </c>
      <c r="BK12" s="4">
        <v>2.1</v>
      </c>
      <c r="BL12" s="4" t="s">
        <v>3093</v>
      </c>
      <c r="BM12" s="4" t="s">
        <v>3092</v>
      </c>
    </row>
    <row r="13" spans="4:67">
      <c r="D13" s="17" t="str">
        <f t="shared" si="0"/>
        <v>ErgänzungsfuttermittelKatzeVitamin-Spurenelement-Präparat</v>
      </c>
      <c r="E13" s="4" t="s">
        <v>91</v>
      </c>
      <c r="F13" s="19" t="s">
        <v>90</v>
      </c>
      <c r="G13" s="4" t="s">
        <v>2902</v>
      </c>
      <c r="L13" s="4" t="s">
        <v>111</v>
      </c>
      <c r="M13">
        <f t="shared" si="8"/>
        <v>12.1</v>
      </c>
      <c r="N13">
        <f t="shared" si="9"/>
        <v>12.8</v>
      </c>
      <c r="P13">
        <f t="shared" si="10"/>
        <v>3.8</v>
      </c>
      <c r="Q13"/>
      <c r="R13">
        <f t="shared" si="11"/>
        <v>7.2</v>
      </c>
      <c r="S13" s="4">
        <v>2100</v>
      </c>
      <c r="T13" s="4">
        <v>400</v>
      </c>
      <c r="U13" s="33">
        <f t="shared" si="2"/>
        <v>5.25</v>
      </c>
      <c r="V13" s="4">
        <v>600</v>
      </c>
      <c r="X13" s="4">
        <v>200</v>
      </c>
      <c r="Z13" s="4">
        <v>120</v>
      </c>
      <c r="AA13" s="4">
        <v>40</v>
      </c>
      <c r="AB13" s="4">
        <v>200</v>
      </c>
      <c r="AC13" s="4">
        <v>50</v>
      </c>
      <c r="AD13" s="4">
        <v>1200</v>
      </c>
      <c r="AE13" s="4">
        <v>400</v>
      </c>
      <c r="AF13" s="4">
        <f t="shared" si="1"/>
        <v>3600</v>
      </c>
      <c r="AG13" s="4">
        <v>12000</v>
      </c>
      <c r="AK13" s="4">
        <v>1500</v>
      </c>
      <c r="AL13" s="4">
        <f t="shared" si="12"/>
        <v>37.5</v>
      </c>
      <c r="AN13" s="4">
        <v>80</v>
      </c>
      <c r="AO13" s="4">
        <v>12</v>
      </c>
      <c r="AP13" s="4">
        <v>6</v>
      </c>
      <c r="AQ13" s="4">
        <v>6</v>
      </c>
      <c r="AR13" s="4">
        <v>100</v>
      </c>
      <c r="AS13" s="4">
        <v>50</v>
      </c>
      <c r="AT13" s="4">
        <v>32</v>
      </c>
      <c r="AU13" s="4">
        <v>20</v>
      </c>
      <c r="AV13" s="4">
        <v>20000</v>
      </c>
      <c r="AW13" s="4">
        <v>200</v>
      </c>
      <c r="AY13" s="4">
        <v>40</v>
      </c>
      <c r="AZ13" s="4">
        <v>500</v>
      </c>
      <c r="BA13" s="4">
        <v>104.75</v>
      </c>
      <c r="BB13" s="4">
        <v>2</v>
      </c>
      <c r="BC13" s="4" t="s">
        <v>111</v>
      </c>
      <c r="BD13" s="4" t="s">
        <v>105</v>
      </c>
      <c r="BE13" s="4" t="s">
        <v>91</v>
      </c>
      <c r="BF13" s="4">
        <v>12.1</v>
      </c>
      <c r="BG13" s="4">
        <v>12.8</v>
      </c>
      <c r="BI13" s="4">
        <v>3.8</v>
      </c>
      <c r="BK13" s="4">
        <v>7.2</v>
      </c>
      <c r="BL13" s="4" t="s">
        <v>112</v>
      </c>
      <c r="BM13" s="4" t="s">
        <v>114</v>
      </c>
      <c r="BN13" s="23" t="s">
        <v>115</v>
      </c>
      <c r="BO13" s="24">
        <v>0.3</v>
      </c>
    </row>
    <row r="14" spans="4:67" ht="15" thickBot="1">
      <c r="D14" s="17" t="str">
        <f t="shared" si="0"/>
        <v>ErgänzungsfuttermittelKatzeVitamin-Spurenelement-Präparat</v>
      </c>
      <c r="E14" s="4" t="s">
        <v>91</v>
      </c>
      <c r="F14" s="19" t="s">
        <v>90</v>
      </c>
      <c r="G14" s="4" t="s">
        <v>2902</v>
      </c>
      <c r="L14" s="4" t="s">
        <v>533</v>
      </c>
      <c r="M14">
        <f t="shared" si="8"/>
        <v>10</v>
      </c>
      <c r="N14">
        <f t="shared" si="9"/>
        <v>6.5</v>
      </c>
      <c r="P14">
        <f t="shared" si="10"/>
        <v>33.5</v>
      </c>
      <c r="Q14"/>
      <c r="R14">
        <f t="shared" si="11"/>
        <v>1</v>
      </c>
      <c r="U14" s="33" t="str">
        <f t="shared" si="2"/>
        <v/>
      </c>
      <c r="Z14" s="4">
        <v>7.5</v>
      </c>
      <c r="AB14" s="4">
        <v>15</v>
      </c>
      <c r="AC14" s="4">
        <v>0.4</v>
      </c>
      <c r="AF14" s="4">
        <f>AG14*$BO$13</f>
        <v>0</v>
      </c>
      <c r="AK14" s="4">
        <v>114.7</v>
      </c>
      <c r="AL14" s="4">
        <f t="shared" si="12"/>
        <v>2.8675000000000002</v>
      </c>
      <c r="AN14" s="4">
        <v>166</v>
      </c>
      <c r="AO14" s="4">
        <v>16</v>
      </c>
      <c r="AP14" s="4">
        <v>12</v>
      </c>
      <c r="AQ14" s="4">
        <v>8</v>
      </c>
      <c r="AR14" s="4">
        <v>56</v>
      </c>
      <c r="AS14" s="4">
        <v>179.9</v>
      </c>
      <c r="AT14" s="4">
        <v>93.7</v>
      </c>
      <c r="AU14" s="4">
        <v>15</v>
      </c>
      <c r="AV14" s="4">
        <v>1800</v>
      </c>
      <c r="AW14" s="4">
        <v>10</v>
      </c>
      <c r="AY14" s="4">
        <v>266</v>
      </c>
      <c r="AZ14" s="4">
        <v>200</v>
      </c>
      <c r="BA14" s="4">
        <v>171.82</v>
      </c>
      <c r="BB14" s="4">
        <v>6</v>
      </c>
      <c r="BC14" s="4" t="s">
        <v>121</v>
      </c>
      <c r="BD14" s="4" t="s">
        <v>105</v>
      </c>
      <c r="BE14" s="4" t="s">
        <v>91</v>
      </c>
      <c r="BF14" s="4">
        <v>10</v>
      </c>
      <c r="BG14" s="4">
        <v>6.5</v>
      </c>
      <c r="BI14" s="4">
        <v>33.5</v>
      </c>
      <c r="BK14" s="4">
        <v>1</v>
      </c>
      <c r="BL14" s="4" t="s">
        <v>123</v>
      </c>
      <c r="BM14" s="4" t="s">
        <v>122</v>
      </c>
      <c r="BN14" s="25" t="s">
        <v>116</v>
      </c>
      <c r="BO14" s="26">
        <v>2.5000000000000001E-2</v>
      </c>
    </row>
    <row r="15" spans="4:67">
      <c r="D15" s="17" t="str">
        <f t="shared" si="0"/>
        <v>ErgänzungsfuttermittelKatzeVitamin-Spurenelement-Präparat</v>
      </c>
      <c r="E15" s="4" t="s">
        <v>91</v>
      </c>
      <c r="F15" s="19" t="s">
        <v>90</v>
      </c>
      <c r="G15" s="4" t="s">
        <v>2902</v>
      </c>
      <c r="L15" s="4" t="s">
        <v>775</v>
      </c>
      <c r="M15">
        <f t="shared" si="8"/>
        <v>6.4</v>
      </c>
      <c r="N15">
        <f t="shared" si="9"/>
        <v>2.2999999999999998</v>
      </c>
      <c r="P15">
        <f t="shared" si="10"/>
        <v>0</v>
      </c>
      <c r="R15">
        <f t="shared" si="11"/>
        <v>14.7</v>
      </c>
      <c r="U15" s="33" t="str">
        <f t="shared" si="2"/>
        <v/>
      </c>
      <c r="Z15" s="4">
        <v>14.342000000000001</v>
      </c>
      <c r="AA15" s="4">
        <v>0.122</v>
      </c>
      <c r="AB15" s="4">
        <v>0.747</v>
      </c>
      <c r="AC15" s="4">
        <v>0.995</v>
      </c>
      <c r="AF15" s="4">
        <f t="shared" ref="AF15:AF43" si="13">AG15*$BO$13</f>
        <v>0</v>
      </c>
      <c r="AL15" s="4">
        <f t="shared" si="12"/>
        <v>0</v>
      </c>
      <c r="AN15" s="4">
        <v>220.36500000000001</v>
      </c>
      <c r="AO15" s="4">
        <v>776.88</v>
      </c>
      <c r="AR15" s="4">
        <v>246.51</v>
      </c>
      <c r="BA15" s="4">
        <v>249.83</v>
      </c>
      <c r="BC15" s="4" t="s">
        <v>775</v>
      </c>
      <c r="BD15" s="4" t="s">
        <v>703</v>
      </c>
      <c r="BE15" s="4" t="s">
        <v>91</v>
      </c>
      <c r="BF15" s="4">
        <v>6.4</v>
      </c>
      <c r="BG15" s="4">
        <v>2.2999999999999998</v>
      </c>
      <c r="BI15" s="4">
        <v>0</v>
      </c>
      <c r="BK15" s="4">
        <v>14.7</v>
      </c>
      <c r="BL15" s="4" t="s">
        <v>777</v>
      </c>
      <c r="BM15" s="4" t="s">
        <v>776</v>
      </c>
    </row>
    <row r="16" spans="4:67">
      <c r="D16" s="17" t="str">
        <f t="shared" si="0"/>
        <v>ErgänzungsfuttermittelKatzeVitamin-Spurenelement-Präparat</v>
      </c>
      <c r="E16" s="4" t="s">
        <v>91</v>
      </c>
      <c r="F16" s="19" t="s">
        <v>90</v>
      </c>
      <c r="G16" s="4" t="s">
        <v>2902</v>
      </c>
      <c r="L16" s="4" t="s">
        <v>3126</v>
      </c>
      <c r="M16">
        <f t="shared" si="8"/>
        <v>14</v>
      </c>
      <c r="N16">
        <f t="shared" si="9"/>
        <v>14</v>
      </c>
      <c r="P16">
        <f t="shared" si="10"/>
        <v>55</v>
      </c>
      <c r="R16">
        <f t="shared" si="11"/>
        <v>6</v>
      </c>
      <c r="U16" s="33" t="str">
        <f t="shared" si="2"/>
        <v/>
      </c>
      <c r="Z16" s="4">
        <v>10</v>
      </c>
      <c r="AB16" s="4">
        <v>10</v>
      </c>
      <c r="AC16" s="4">
        <v>6</v>
      </c>
      <c r="AF16" s="4">
        <f t="shared" si="13"/>
        <v>4050</v>
      </c>
      <c r="AG16" s="4">
        <v>13500</v>
      </c>
      <c r="AK16" s="4">
        <v>200</v>
      </c>
      <c r="AL16" s="4">
        <f t="shared" si="12"/>
        <v>5</v>
      </c>
      <c r="AN16" s="4">
        <v>120</v>
      </c>
      <c r="AO16" s="4">
        <v>25</v>
      </c>
      <c r="AP16" s="4">
        <v>3</v>
      </c>
      <c r="AQ16" s="4">
        <v>15</v>
      </c>
      <c r="AR16" s="4">
        <v>35</v>
      </c>
      <c r="AS16" s="4">
        <v>300</v>
      </c>
      <c r="AT16" s="4">
        <v>35</v>
      </c>
      <c r="AU16" s="4">
        <v>30</v>
      </c>
      <c r="AV16" s="4">
        <v>900</v>
      </c>
      <c r="AZ16" s="4">
        <v>500</v>
      </c>
      <c r="BA16" s="4">
        <v>108.27</v>
      </c>
      <c r="BC16" s="4" t="s">
        <v>3127</v>
      </c>
      <c r="BD16" s="4" t="s">
        <v>100</v>
      </c>
      <c r="BE16" s="4" t="s">
        <v>91</v>
      </c>
      <c r="BF16" s="4">
        <v>14</v>
      </c>
      <c r="BG16" s="4">
        <v>14</v>
      </c>
      <c r="BI16" s="4">
        <v>55</v>
      </c>
      <c r="BK16" s="4">
        <v>6</v>
      </c>
      <c r="BL16" s="4" t="s">
        <v>3129</v>
      </c>
      <c r="BM16" s="4" t="s">
        <v>3128</v>
      </c>
    </row>
    <row r="17" spans="4:65">
      <c r="D17" s="17" t="str">
        <f t="shared" si="0"/>
        <v>ErgänzungsfuttermittelKatzeVitamin-Spurenelement-Präparat</v>
      </c>
      <c r="E17" s="4" t="s">
        <v>91</v>
      </c>
      <c r="F17" s="19" t="s">
        <v>90</v>
      </c>
      <c r="G17" s="4" t="s">
        <v>2902</v>
      </c>
      <c r="L17" s="4" t="s">
        <v>3122</v>
      </c>
      <c r="M17">
        <f t="shared" si="8"/>
        <v>2.7</v>
      </c>
      <c r="N17">
        <f t="shared" si="9"/>
        <v>17</v>
      </c>
      <c r="P17">
        <f t="shared" si="10"/>
        <v>15</v>
      </c>
      <c r="R17">
        <f t="shared" si="11"/>
        <v>1</v>
      </c>
      <c r="U17" s="33" t="str">
        <f t="shared" si="2"/>
        <v/>
      </c>
      <c r="Z17" s="4">
        <v>5</v>
      </c>
      <c r="AA17" s="4">
        <v>0.3</v>
      </c>
      <c r="AB17" s="4">
        <v>4.5999999999999996</v>
      </c>
      <c r="AC17" s="4">
        <v>0.3</v>
      </c>
      <c r="AE17" s="4">
        <v>19</v>
      </c>
      <c r="AF17" s="4">
        <f t="shared" si="13"/>
        <v>60</v>
      </c>
      <c r="AG17" s="4">
        <v>200</v>
      </c>
      <c r="AK17" s="4">
        <v>16</v>
      </c>
      <c r="AL17" s="4">
        <f t="shared" si="12"/>
        <v>0.4</v>
      </c>
      <c r="AZ17" s="4">
        <v>200</v>
      </c>
      <c r="BA17" s="4">
        <v>110.15</v>
      </c>
      <c r="BB17" s="4">
        <v>40</v>
      </c>
      <c r="BC17" s="4" t="s">
        <v>3123</v>
      </c>
      <c r="BD17" s="4" t="s">
        <v>100</v>
      </c>
      <c r="BE17" s="4" t="s">
        <v>91</v>
      </c>
      <c r="BF17" s="4">
        <v>2.7</v>
      </c>
      <c r="BG17" s="4">
        <v>17</v>
      </c>
      <c r="BI17" s="4">
        <v>15</v>
      </c>
      <c r="BK17" s="4">
        <v>1</v>
      </c>
      <c r="BL17" s="4" t="s">
        <v>3125</v>
      </c>
      <c r="BM17" s="4" t="s">
        <v>3124</v>
      </c>
    </row>
    <row r="18" spans="4:65">
      <c r="D18" s="17" t="str">
        <f t="shared" si="0"/>
        <v>ErgänzungsfuttermittelKatzeVitamin-Spurenelement-Präparat</v>
      </c>
      <c r="E18" s="4" t="s">
        <v>91</v>
      </c>
      <c r="F18" s="19" t="s">
        <v>90</v>
      </c>
      <c r="G18" s="4" t="s">
        <v>2902</v>
      </c>
      <c r="L18" s="4" t="s">
        <v>139</v>
      </c>
      <c r="M18">
        <f t="shared" si="8"/>
        <v>11</v>
      </c>
      <c r="N18">
        <f t="shared" si="9"/>
        <v>25</v>
      </c>
      <c r="P18">
        <f t="shared" si="10"/>
        <v>5.8</v>
      </c>
      <c r="Q18"/>
      <c r="R18">
        <f t="shared" si="11"/>
        <v>25</v>
      </c>
      <c r="S18" s="4">
        <v>2500</v>
      </c>
      <c r="T18" s="4">
        <v>1200</v>
      </c>
      <c r="U18" s="33">
        <f t="shared" si="2"/>
        <v>2.0833333333333335</v>
      </c>
      <c r="V18" s="4">
        <v>110</v>
      </c>
      <c r="X18" s="4">
        <v>500</v>
      </c>
      <c r="Z18" s="4">
        <v>58</v>
      </c>
      <c r="AA18" s="4">
        <v>1.8</v>
      </c>
      <c r="AB18" s="4">
        <v>8.1</v>
      </c>
      <c r="AC18" s="4">
        <v>8.6999999999999993</v>
      </c>
      <c r="AD18" s="4">
        <v>0.26500000000000001</v>
      </c>
      <c r="AE18" s="4">
        <v>0.06</v>
      </c>
      <c r="AF18" s="4">
        <f t="shared" si="13"/>
        <v>315</v>
      </c>
      <c r="AG18" s="4">
        <v>1050</v>
      </c>
      <c r="AK18" s="4">
        <v>105</v>
      </c>
      <c r="AL18" s="4">
        <f t="shared" si="12"/>
        <v>2.625</v>
      </c>
      <c r="AN18" s="4">
        <v>10.5</v>
      </c>
      <c r="AO18" s="4">
        <v>0.35</v>
      </c>
      <c r="AP18" s="4">
        <v>0.7</v>
      </c>
      <c r="AQ18" s="4">
        <v>0.42</v>
      </c>
      <c r="AR18" s="4">
        <v>4.2</v>
      </c>
      <c r="AS18" s="4">
        <v>21</v>
      </c>
      <c r="AT18" s="4">
        <v>2.1</v>
      </c>
      <c r="AU18" s="4">
        <v>0.7</v>
      </c>
      <c r="AV18" s="4">
        <v>35</v>
      </c>
      <c r="AW18" s="4">
        <v>14</v>
      </c>
      <c r="BA18" s="4">
        <v>35.119999999999997</v>
      </c>
      <c r="BC18" s="4" t="s">
        <v>139</v>
      </c>
      <c r="BD18" s="4" t="s">
        <v>105</v>
      </c>
      <c r="BE18" s="4" t="s">
        <v>91</v>
      </c>
      <c r="BF18" s="4">
        <v>11</v>
      </c>
      <c r="BG18" s="4">
        <v>25</v>
      </c>
      <c r="BI18" s="4">
        <v>5.8</v>
      </c>
      <c r="BK18" s="4">
        <v>25</v>
      </c>
      <c r="BL18" s="4" t="s">
        <v>140</v>
      </c>
      <c r="BM18" s="4" t="s">
        <v>141</v>
      </c>
    </row>
    <row r="19" spans="4:65">
      <c r="D19" s="17" t="str">
        <f t="shared" si="0"/>
        <v>ErgänzungsfuttermittelKatzeVitamin-Spurenelement-Präparat</v>
      </c>
      <c r="E19" s="4" t="s">
        <v>91</v>
      </c>
      <c r="F19" s="19" t="s">
        <v>90</v>
      </c>
      <c r="G19" s="4" t="s">
        <v>2902</v>
      </c>
      <c r="L19" s="4" t="s">
        <v>986</v>
      </c>
      <c r="M19">
        <f t="shared" si="8"/>
        <v>31.5</v>
      </c>
      <c r="N19">
        <f t="shared" si="9"/>
        <v>18.600000000000001</v>
      </c>
      <c r="P19">
        <f t="shared" si="10"/>
        <v>11.8</v>
      </c>
      <c r="R19">
        <f t="shared" si="11"/>
        <v>1.9</v>
      </c>
      <c r="U19" s="33" t="str">
        <f t="shared" si="2"/>
        <v/>
      </c>
      <c r="AB19" s="4">
        <v>290</v>
      </c>
      <c r="AF19" s="4">
        <f t="shared" si="13"/>
        <v>0</v>
      </c>
      <c r="AL19" s="4">
        <f t="shared" si="12"/>
        <v>0</v>
      </c>
      <c r="AN19" s="4">
        <v>4000</v>
      </c>
      <c r="BA19" s="4">
        <v>825.7</v>
      </c>
      <c r="BB19" s="4">
        <v>1</v>
      </c>
      <c r="BC19" s="4" t="s">
        <v>986</v>
      </c>
      <c r="BD19" s="4" t="s">
        <v>960</v>
      </c>
      <c r="BE19" s="4" t="s">
        <v>91</v>
      </c>
      <c r="BF19" s="4">
        <v>31.5</v>
      </c>
      <c r="BG19" s="4">
        <v>18.600000000000001</v>
      </c>
      <c r="BI19" s="4">
        <v>11.8</v>
      </c>
      <c r="BK19" s="4">
        <v>1.9</v>
      </c>
      <c r="BL19" s="4" t="s">
        <v>988</v>
      </c>
      <c r="BM19" s="4" t="s">
        <v>987</v>
      </c>
    </row>
    <row r="20" spans="4:65">
      <c r="D20" s="17" t="str">
        <f t="shared" si="0"/>
        <v>ErgänzungsfuttermittelKatzeVitamin-Spurenelement-Präparat</v>
      </c>
      <c r="E20" s="4" t="s">
        <v>91</v>
      </c>
      <c r="F20" s="19" t="s">
        <v>90</v>
      </c>
      <c r="G20" s="4" t="s">
        <v>2902</v>
      </c>
      <c r="L20" s="4" t="s">
        <v>2669</v>
      </c>
      <c r="M20">
        <f t="shared" si="8"/>
        <v>88.2</v>
      </c>
      <c r="N20">
        <f t="shared" si="9"/>
        <v>0</v>
      </c>
      <c r="P20">
        <f t="shared" si="10"/>
        <v>5</v>
      </c>
      <c r="R20">
        <f t="shared" si="11"/>
        <v>0</v>
      </c>
      <c r="S20" s="4">
        <v>18300</v>
      </c>
      <c r="T20" s="4">
        <v>6700</v>
      </c>
      <c r="U20" s="33">
        <f t="shared" si="2"/>
        <v>2.7313432835820897</v>
      </c>
      <c r="W20" s="4">
        <v>7500</v>
      </c>
      <c r="X20" s="4">
        <v>2000</v>
      </c>
      <c r="AA20" s="4">
        <v>12.5</v>
      </c>
      <c r="AF20" s="4">
        <f t="shared" si="13"/>
        <v>7500</v>
      </c>
      <c r="AG20" s="4">
        <v>25000</v>
      </c>
      <c r="AK20" s="4">
        <v>2500</v>
      </c>
      <c r="AL20" s="4">
        <f t="shared" si="12"/>
        <v>62.5</v>
      </c>
      <c r="AN20" s="4">
        <v>167.5</v>
      </c>
      <c r="AO20" s="4">
        <v>7.5</v>
      </c>
      <c r="AP20" s="4">
        <v>25</v>
      </c>
      <c r="AW20" s="4">
        <v>125</v>
      </c>
      <c r="AZ20" s="4">
        <v>2500</v>
      </c>
      <c r="BA20" s="4">
        <v>58.96</v>
      </c>
      <c r="BB20" s="4">
        <v>2.4</v>
      </c>
      <c r="BC20" s="4" t="s">
        <v>2669</v>
      </c>
      <c r="BD20" s="4" t="s">
        <v>2666</v>
      </c>
      <c r="BE20" s="4" t="s">
        <v>91</v>
      </c>
      <c r="BF20" s="4">
        <v>88.2</v>
      </c>
      <c r="BI20" s="4">
        <v>5</v>
      </c>
      <c r="BL20" s="4" t="s">
        <v>2671</v>
      </c>
      <c r="BM20" s="4" t="s">
        <v>2670</v>
      </c>
    </row>
    <row r="21" spans="4:65">
      <c r="D21" s="17" t="str">
        <f t="shared" si="0"/>
        <v>ErgänzungsfuttermittelKatzeVitamin-Spurenelement-Präparat</v>
      </c>
      <c r="E21" s="4" t="s">
        <v>91</v>
      </c>
      <c r="F21" s="19" t="s">
        <v>90</v>
      </c>
      <c r="G21" s="4" t="s">
        <v>2902</v>
      </c>
      <c r="L21" s="4" t="s">
        <v>182</v>
      </c>
      <c r="M21">
        <f t="shared" si="8"/>
        <v>28.1</v>
      </c>
      <c r="N21">
        <f t="shared" si="9"/>
        <v>15</v>
      </c>
      <c r="O21"/>
      <c r="P21">
        <f t="shared" si="10"/>
        <v>2</v>
      </c>
      <c r="Q21"/>
      <c r="R21">
        <f t="shared" si="11"/>
        <v>4.4000000000000004</v>
      </c>
      <c r="S21" s="4">
        <v>6200</v>
      </c>
      <c r="T21" s="4">
        <v>2500</v>
      </c>
      <c r="U21" s="33">
        <f t="shared" si="2"/>
        <v>2.48</v>
      </c>
      <c r="V21" s="4">
        <v>900</v>
      </c>
      <c r="W21" s="4">
        <v>600</v>
      </c>
      <c r="X21" s="4">
        <v>1100</v>
      </c>
      <c r="Z21" s="4">
        <v>60</v>
      </c>
      <c r="AA21" s="4">
        <v>20</v>
      </c>
      <c r="AB21" s="4">
        <v>200</v>
      </c>
      <c r="AC21" s="4">
        <v>50</v>
      </c>
      <c r="AD21" s="4">
        <v>1000</v>
      </c>
      <c r="AE21" s="4">
        <v>500</v>
      </c>
      <c r="AF21" s="4">
        <f t="shared" si="13"/>
        <v>12000</v>
      </c>
      <c r="AG21" s="4">
        <v>40000</v>
      </c>
      <c r="AK21" s="4">
        <v>1000</v>
      </c>
      <c r="AL21" s="4">
        <f t="shared" si="12"/>
        <v>25</v>
      </c>
      <c r="AN21" s="4">
        <v>400</v>
      </c>
      <c r="AO21" s="4">
        <v>6</v>
      </c>
      <c r="AP21" s="4">
        <v>15</v>
      </c>
      <c r="AQ21" s="4">
        <v>6</v>
      </c>
      <c r="AR21" s="4">
        <v>200</v>
      </c>
      <c r="AS21" s="4">
        <v>100</v>
      </c>
      <c r="AT21" s="4">
        <v>40</v>
      </c>
      <c r="AU21" s="4">
        <v>40</v>
      </c>
      <c r="AV21" s="4">
        <v>4000</v>
      </c>
      <c r="AW21" s="4">
        <v>200</v>
      </c>
      <c r="AX21" s="4">
        <v>1</v>
      </c>
      <c r="AY21" s="4">
        <v>200</v>
      </c>
      <c r="AZ21" s="4">
        <v>1000</v>
      </c>
      <c r="BA21" s="4">
        <v>52.6</v>
      </c>
      <c r="BB21" s="4" t="s">
        <v>183</v>
      </c>
      <c r="BC21" s="4" t="s">
        <v>179</v>
      </c>
      <c r="BD21" s="4" t="s">
        <v>105</v>
      </c>
      <c r="BE21" s="4" t="s">
        <v>91</v>
      </c>
      <c r="BF21" s="4">
        <v>28.1</v>
      </c>
      <c r="BG21" s="4">
        <v>15</v>
      </c>
      <c r="BI21" s="4">
        <v>2</v>
      </c>
      <c r="BK21" s="4">
        <v>4.4000000000000004</v>
      </c>
      <c r="BL21" s="4" t="s">
        <v>181</v>
      </c>
      <c r="BM21" s="4" t="s">
        <v>180</v>
      </c>
    </row>
    <row r="22" spans="4:65">
      <c r="D22" s="17" t="str">
        <f t="shared" si="0"/>
        <v>ErgänzungsfuttermittelKatzeVitamin-Spurenelement-Präparat</v>
      </c>
      <c r="E22" s="4" t="s">
        <v>91</v>
      </c>
      <c r="F22" s="19" t="s">
        <v>90</v>
      </c>
      <c r="G22" s="4" t="s">
        <v>2902</v>
      </c>
      <c r="L22" s="4" t="s">
        <v>866</v>
      </c>
      <c r="M22">
        <f t="shared" si="8"/>
        <v>4.8</v>
      </c>
      <c r="N22">
        <f t="shared" si="9"/>
        <v>34.6</v>
      </c>
      <c r="P22">
        <f t="shared" si="10"/>
        <v>27.5</v>
      </c>
      <c r="R22">
        <f t="shared" si="11"/>
        <v>0.2</v>
      </c>
      <c r="S22" s="4">
        <v>100</v>
      </c>
      <c r="T22" s="4">
        <v>100</v>
      </c>
      <c r="U22" s="33">
        <f t="shared" si="2"/>
        <v>1</v>
      </c>
      <c r="W22" s="4">
        <v>100</v>
      </c>
      <c r="X22" s="4">
        <v>900</v>
      </c>
      <c r="Y22" s="4">
        <v>100</v>
      </c>
      <c r="AC22" s="4">
        <v>100</v>
      </c>
      <c r="AF22" s="4">
        <f t="shared" si="13"/>
        <v>0</v>
      </c>
      <c r="AL22" s="4">
        <f t="shared" si="12"/>
        <v>0</v>
      </c>
      <c r="AW22" s="4">
        <v>530</v>
      </c>
      <c r="BA22" s="4">
        <v>1276.5999999999999</v>
      </c>
      <c r="BB22" s="4">
        <v>0.2</v>
      </c>
      <c r="BC22" s="4" t="s">
        <v>866</v>
      </c>
      <c r="BD22" s="4" t="s">
        <v>854</v>
      </c>
      <c r="BE22" s="4" t="s">
        <v>91</v>
      </c>
      <c r="BF22" s="4">
        <v>4.8</v>
      </c>
      <c r="BG22" s="4">
        <v>34.6</v>
      </c>
      <c r="BI22" s="4">
        <v>27.5</v>
      </c>
      <c r="BK22" s="4">
        <v>0.2</v>
      </c>
      <c r="BL22" s="4" t="s">
        <v>870</v>
      </c>
      <c r="BM22" s="4" t="s">
        <v>869</v>
      </c>
    </row>
    <row r="23" spans="4:65">
      <c r="D23" s="17" t="str">
        <f t="shared" si="0"/>
        <v>ErgänzungsfuttermittelKatzeVitamin-Spurenelement-Präparat</v>
      </c>
      <c r="E23" s="4" t="s">
        <v>91</v>
      </c>
      <c r="F23" s="19" t="s">
        <v>90</v>
      </c>
      <c r="G23" s="4" t="s">
        <v>2902</v>
      </c>
      <c r="L23" s="4" t="s">
        <v>198</v>
      </c>
      <c r="M23">
        <f t="shared" si="8"/>
        <v>1</v>
      </c>
      <c r="N23">
        <f t="shared" si="9"/>
        <v>2.7</v>
      </c>
      <c r="O23"/>
      <c r="P23">
        <f t="shared" si="10"/>
        <v>1.9</v>
      </c>
      <c r="Q23"/>
      <c r="R23">
        <f t="shared" si="11"/>
        <v>0.8</v>
      </c>
      <c r="U23" s="33" t="str">
        <f t="shared" si="2"/>
        <v/>
      </c>
      <c r="Z23" s="4">
        <v>1.7</v>
      </c>
      <c r="AB23" s="4">
        <v>0.75</v>
      </c>
      <c r="AC23" s="4">
        <v>0.27</v>
      </c>
      <c r="AF23" s="4">
        <f t="shared" si="13"/>
        <v>126.35999999999999</v>
      </c>
      <c r="AG23" s="4">
        <v>421.2</v>
      </c>
      <c r="AK23" s="4">
        <v>15</v>
      </c>
      <c r="AL23" s="4">
        <f t="shared" si="12"/>
        <v>0.375</v>
      </c>
      <c r="AN23" s="4">
        <v>8.42</v>
      </c>
      <c r="AO23" s="4">
        <v>1.17</v>
      </c>
      <c r="AP23" s="4">
        <v>1.23</v>
      </c>
      <c r="AQ23" s="4">
        <v>2.23</v>
      </c>
      <c r="AS23" s="4">
        <v>14</v>
      </c>
      <c r="AY23" s="4">
        <v>56.1</v>
      </c>
      <c r="BA23" s="4">
        <v>70.09</v>
      </c>
      <c r="BB23" s="4">
        <v>6</v>
      </c>
      <c r="BC23" s="4" t="s">
        <v>198</v>
      </c>
      <c r="BD23" s="4" t="s">
        <v>96</v>
      </c>
      <c r="BE23" s="4" t="s">
        <v>91</v>
      </c>
      <c r="BF23" s="4">
        <v>1</v>
      </c>
      <c r="BG23" s="4">
        <v>2.7</v>
      </c>
      <c r="BI23" s="4">
        <v>1.9</v>
      </c>
      <c r="BK23" s="4">
        <v>0.8</v>
      </c>
      <c r="BL23" s="4" t="s">
        <v>199</v>
      </c>
      <c r="BM23" s="4" t="s">
        <v>200</v>
      </c>
    </row>
    <row r="24" spans="4:65">
      <c r="D24" s="17" t="str">
        <f t="shared" si="0"/>
        <v>ErgänzungsfuttermittelKatzeVitamin-Spurenelement-Präparat</v>
      </c>
      <c r="E24" s="4" t="s">
        <v>91</v>
      </c>
      <c r="F24" s="19" t="s">
        <v>90</v>
      </c>
      <c r="G24" s="4" t="s">
        <v>2902</v>
      </c>
      <c r="L24" s="4" t="s">
        <v>201</v>
      </c>
      <c r="M24">
        <f t="shared" si="8"/>
        <v>2.2999999999999998</v>
      </c>
      <c r="N24">
        <f t="shared" si="9"/>
        <v>1.2</v>
      </c>
      <c r="O24"/>
      <c r="P24">
        <f t="shared" si="10"/>
        <v>30.9</v>
      </c>
      <c r="Q24"/>
      <c r="R24">
        <f t="shared" si="11"/>
        <v>2.2000000000000002</v>
      </c>
      <c r="S24" s="4">
        <v>20</v>
      </c>
      <c r="T24" s="4">
        <v>4</v>
      </c>
      <c r="U24" s="33">
        <f t="shared" si="2"/>
        <v>5</v>
      </c>
      <c r="V24" s="4">
        <v>20</v>
      </c>
      <c r="W24" s="4">
        <v>60</v>
      </c>
      <c r="Z24" s="4">
        <v>9.24</v>
      </c>
      <c r="AC24" s="4">
        <v>18.3</v>
      </c>
      <c r="AF24" s="4">
        <f t="shared" si="13"/>
        <v>1.329</v>
      </c>
      <c r="AG24" s="4">
        <v>4.43</v>
      </c>
      <c r="AK24" s="4">
        <v>443</v>
      </c>
      <c r="AL24" s="4">
        <f t="shared" si="12"/>
        <v>11.075000000000001</v>
      </c>
      <c r="AQ24" s="4">
        <v>20</v>
      </c>
      <c r="AR24" s="4">
        <v>42</v>
      </c>
      <c r="AT24" s="4">
        <v>40</v>
      </c>
      <c r="BA24" s="4">
        <v>140.91999999999999</v>
      </c>
      <c r="BB24" s="4">
        <v>12</v>
      </c>
      <c r="BC24" s="4" t="s">
        <v>201</v>
      </c>
      <c r="BD24" s="4" t="s">
        <v>96</v>
      </c>
      <c r="BE24" s="4" t="s">
        <v>91</v>
      </c>
      <c r="BF24" s="4">
        <v>2.2999999999999998</v>
      </c>
      <c r="BG24" s="4">
        <v>1.2</v>
      </c>
      <c r="BI24" s="4">
        <v>30.9</v>
      </c>
      <c r="BK24" s="4">
        <v>2.2000000000000002</v>
      </c>
      <c r="BL24" s="4" t="s">
        <v>202</v>
      </c>
      <c r="BM24" s="4" t="s">
        <v>203</v>
      </c>
    </row>
    <row r="25" spans="4:65">
      <c r="D25" s="17" t="str">
        <f t="shared" si="0"/>
        <v>ErgänzungsfuttermittelKatzeVitamin-Spurenelement-Präparat</v>
      </c>
      <c r="E25" s="4" t="s">
        <v>91</v>
      </c>
      <c r="F25" s="19" t="s">
        <v>90</v>
      </c>
      <c r="G25" s="4" t="s">
        <v>2902</v>
      </c>
      <c r="L25" s="4" t="s">
        <v>840</v>
      </c>
      <c r="M25">
        <f t="shared" si="8"/>
        <v>4</v>
      </c>
      <c r="N25">
        <f t="shared" si="9"/>
        <v>5</v>
      </c>
      <c r="P25">
        <f t="shared" si="10"/>
        <v>5</v>
      </c>
      <c r="R25">
        <f t="shared" si="11"/>
        <v>1.5</v>
      </c>
      <c r="U25" s="33" t="str">
        <f t="shared" si="2"/>
        <v/>
      </c>
      <c r="AC25" s="4">
        <v>100</v>
      </c>
      <c r="AF25" s="4">
        <f t="shared" si="13"/>
        <v>0</v>
      </c>
      <c r="AL25" s="4">
        <f t="shared" si="12"/>
        <v>0</v>
      </c>
      <c r="AM25" s="4">
        <v>600</v>
      </c>
      <c r="BA25" s="4">
        <v>6796</v>
      </c>
      <c r="BB25" s="4">
        <v>10</v>
      </c>
      <c r="BC25" s="4" t="s">
        <v>837</v>
      </c>
      <c r="BD25" s="4" t="s">
        <v>834</v>
      </c>
      <c r="BE25" s="4" t="s">
        <v>91</v>
      </c>
      <c r="BF25" s="4">
        <v>4</v>
      </c>
      <c r="BG25" s="4">
        <v>5</v>
      </c>
      <c r="BI25" s="4">
        <v>5</v>
      </c>
      <c r="BK25" s="4">
        <v>1.5</v>
      </c>
      <c r="BL25" s="4" t="s">
        <v>839</v>
      </c>
      <c r="BM25" s="4" t="s">
        <v>838</v>
      </c>
    </row>
    <row r="26" spans="4:65">
      <c r="D26" s="17" t="str">
        <f t="shared" si="0"/>
        <v>ErgänzungsfuttermittelKatzeVitamin-Spurenelement-Präparat</v>
      </c>
      <c r="E26" s="4" t="s">
        <v>91</v>
      </c>
      <c r="F26" s="19" t="s">
        <v>90</v>
      </c>
      <c r="G26" s="4" t="s">
        <v>2902</v>
      </c>
      <c r="L26" s="4" t="s">
        <v>128</v>
      </c>
      <c r="M26">
        <f t="shared" si="8"/>
        <v>25.3</v>
      </c>
      <c r="N26">
        <f t="shared" si="9"/>
        <v>13.1</v>
      </c>
      <c r="P26">
        <f t="shared" si="10"/>
        <v>3.6</v>
      </c>
      <c r="Q26"/>
      <c r="R26">
        <f t="shared" si="11"/>
        <v>9.1</v>
      </c>
      <c r="S26" s="4">
        <v>1200</v>
      </c>
      <c r="T26" s="4">
        <v>100</v>
      </c>
      <c r="U26" s="33">
        <f t="shared" si="2"/>
        <v>12</v>
      </c>
      <c r="V26" s="4">
        <v>100</v>
      </c>
      <c r="W26" s="4">
        <v>2100</v>
      </c>
      <c r="X26" s="4">
        <v>6500</v>
      </c>
      <c r="Z26" s="4">
        <v>300</v>
      </c>
      <c r="AB26" s="4">
        <v>400</v>
      </c>
      <c r="AE26" s="4">
        <v>2000</v>
      </c>
      <c r="AF26" s="4">
        <f t="shared" si="13"/>
        <v>36000</v>
      </c>
      <c r="AG26" s="4">
        <v>120000</v>
      </c>
      <c r="AL26" s="4">
        <f t="shared" si="12"/>
        <v>0</v>
      </c>
      <c r="AN26" s="4">
        <v>500</v>
      </c>
      <c r="AO26" s="4">
        <v>160</v>
      </c>
      <c r="AP26" s="4">
        <v>60</v>
      </c>
      <c r="AQ26" s="4">
        <v>60</v>
      </c>
      <c r="AV26" s="4">
        <v>200000</v>
      </c>
      <c r="AW26" s="4">
        <v>2000</v>
      </c>
      <c r="BA26" s="4">
        <v>69.5</v>
      </c>
      <c r="BB26" s="22" t="s">
        <v>134</v>
      </c>
      <c r="BC26" s="4" t="s">
        <v>128</v>
      </c>
      <c r="BD26" s="4" t="s">
        <v>105</v>
      </c>
      <c r="BE26" s="4" t="s">
        <v>131</v>
      </c>
      <c r="BF26" s="4">
        <v>25.3</v>
      </c>
      <c r="BG26" s="4">
        <v>13.1</v>
      </c>
      <c r="BI26" s="4">
        <v>3.6</v>
      </c>
      <c r="BK26" s="4">
        <v>9.1</v>
      </c>
      <c r="BL26" s="4" t="s">
        <v>132</v>
      </c>
      <c r="BM26" s="4" t="s">
        <v>133</v>
      </c>
    </row>
    <row r="27" spans="4:65">
      <c r="D27" s="17" t="str">
        <f t="shared" si="0"/>
        <v>ErgänzungsfuttermittelKatzeVitamin-Spurenelement-Präparat</v>
      </c>
      <c r="E27" s="4" t="s">
        <v>91</v>
      </c>
      <c r="F27" s="19" t="s">
        <v>90</v>
      </c>
      <c r="G27" s="4" t="s">
        <v>2902</v>
      </c>
      <c r="L27" s="4" t="s">
        <v>370</v>
      </c>
      <c r="M27">
        <f t="shared" si="8"/>
        <v>12</v>
      </c>
      <c r="N27">
        <f t="shared" si="9"/>
        <v>12.9</v>
      </c>
      <c r="P27">
        <f t="shared" si="10"/>
        <v>3.7</v>
      </c>
      <c r="R27">
        <f t="shared" si="11"/>
        <v>6.9</v>
      </c>
      <c r="S27" s="4">
        <v>2000</v>
      </c>
      <c r="T27" s="4">
        <v>400</v>
      </c>
      <c r="U27" s="33">
        <f t="shared" si="2"/>
        <v>5</v>
      </c>
      <c r="V27" s="4">
        <v>600</v>
      </c>
      <c r="X27" s="4">
        <v>200</v>
      </c>
      <c r="Z27" s="4">
        <v>120</v>
      </c>
      <c r="AA27" s="4">
        <v>40</v>
      </c>
      <c r="AB27" s="4">
        <v>200</v>
      </c>
      <c r="AC27" s="4">
        <v>50</v>
      </c>
      <c r="AE27" s="4">
        <v>4000</v>
      </c>
      <c r="AF27" s="4">
        <f t="shared" si="13"/>
        <v>3600</v>
      </c>
      <c r="AG27" s="4">
        <v>12000</v>
      </c>
      <c r="AK27" s="4">
        <v>1500</v>
      </c>
      <c r="AL27" s="4">
        <f t="shared" si="12"/>
        <v>37.5</v>
      </c>
      <c r="AN27" s="4">
        <v>80</v>
      </c>
      <c r="AO27" s="4">
        <v>12</v>
      </c>
      <c r="AP27" s="4">
        <v>6</v>
      </c>
      <c r="AQ27" s="4">
        <v>6</v>
      </c>
      <c r="AR27" s="4">
        <v>100</v>
      </c>
      <c r="AS27" s="4">
        <v>50</v>
      </c>
      <c r="AT27" s="4">
        <v>32</v>
      </c>
      <c r="AU27" s="4">
        <v>20</v>
      </c>
      <c r="AV27" s="4">
        <v>20000</v>
      </c>
      <c r="AW27" s="4">
        <v>200</v>
      </c>
      <c r="AY27" s="4">
        <v>40</v>
      </c>
      <c r="AZ27" s="4">
        <v>500</v>
      </c>
      <c r="BA27" s="4">
        <v>82.5</v>
      </c>
      <c r="BC27" s="4" t="s">
        <v>370</v>
      </c>
      <c r="BD27" s="4" t="s">
        <v>371</v>
      </c>
      <c r="BE27" s="4" t="s">
        <v>91</v>
      </c>
      <c r="BF27" s="4">
        <v>12</v>
      </c>
      <c r="BG27" s="4">
        <v>12.9</v>
      </c>
      <c r="BI27" s="4">
        <v>3.7</v>
      </c>
      <c r="BK27" s="4">
        <v>6.9</v>
      </c>
      <c r="BL27" s="4" t="s">
        <v>373</v>
      </c>
      <c r="BM27" s="4" t="s">
        <v>372</v>
      </c>
    </row>
    <row r="28" spans="4:65">
      <c r="D28" s="17" t="str">
        <f t="shared" si="0"/>
        <v>ErgänzungsfuttermittelKatzeVitamin-Spurenelement-Präparat</v>
      </c>
      <c r="E28" s="4" t="s">
        <v>91</v>
      </c>
      <c r="F28" s="19" t="s">
        <v>90</v>
      </c>
      <c r="G28" s="4" t="s">
        <v>2902</v>
      </c>
      <c r="L28" s="4" t="s">
        <v>412</v>
      </c>
      <c r="M28">
        <f t="shared" si="8"/>
        <v>11.9</v>
      </c>
      <c r="N28">
        <f t="shared" si="9"/>
        <v>13.3</v>
      </c>
      <c r="P28">
        <f t="shared" si="10"/>
        <v>3.9</v>
      </c>
      <c r="R28">
        <f t="shared" si="11"/>
        <v>7.2</v>
      </c>
      <c r="S28" s="4">
        <v>2100</v>
      </c>
      <c r="T28" s="4">
        <v>400</v>
      </c>
      <c r="U28" s="33">
        <f t="shared" si="2"/>
        <v>5.25</v>
      </c>
      <c r="V28" s="4">
        <v>600</v>
      </c>
      <c r="X28" s="4">
        <v>200</v>
      </c>
      <c r="Z28" s="4">
        <v>120</v>
      </c>
      <c r="AA28" s="4">
        <v>40</v>
      </c>
      <c r="AB28" s="4">
        <v>200</v>
      </c>
      <c r="AC28" s="4">
        <v>50</v>
      </c>
      <c r="AE28" s="4">
        <v>4000</v>
      </c>
      <c r="AF28" s="4">
        <f t="shared" si="13"/>
        <v>3600</v>
      </c>
      <c r="AG28" s="4">
        <v>12000</v>
      </c>
      <c r="AK28" s="4">
        <v>1500</v>
      </c>
      <c r="AL28" s="4">
        <f t="shared" si="12"/>
        <v>37.5</v>
      </c>
      <c r="AN28" s="4">
        <v>80</v>
      </c>
      <c r="AO28" s="4">
        <v>12</v>
      </c>
      <c r="AP28" s="4">
        <v>6</v>
      </c>
      <c r="AQ28" s="4">
        <v>6</v>
      </c>
      <c r="AR28" s="4">
        <v>100</v>
      </c>
      <c r="AS28" s="4">
        <v>50</v>
      </c>
      <c r="AT28" s="4">
        <v>32</v>
      </c>
      <c r="AU28" s="4">
        <v>20</v>
      </c>
      <c r="AV28" s="4">
        <v>20000</v>
      </c>
      <c r="AW28" s="4">
        <v>200</v>
      </c>
      <c r="AY28" s="4">
        <v>40</v>
      </c>
      <c r="AZ28" s="4">
        <v>500</v>
      </c>
      <c r="BA28" s="4">
        <v>73.25</v>
      </c>
      <c r="BC28" s="4" t="s">
        <v>412</v>
      </c>
      <c r="BD28" s="4" t="s">
        <v>371</v>
      </c>
      <c r="BE28" s="4" t="s">
        <v>91</v>
      </c>
      <c r="BF28" s="4">
        <v>11.9</v>
      </c>
      <c r="BG28" s="4">
        <v>13.3</v>
      </c>
      <c r="BI28" s="4">
        <v>3.9</v>
      </c>
      <c r="BK28" s="4">
        <v>7.2</v>
      </c>
      <c r="BL28" s="4" t="s">
        <v>414</v>
      </c>
      <c r="BM28" s="4" t="s">
        <v>413</v>
      </c>
    </row>
    <row r="29" spans="4:65">
      <c r="D29" s="17" t="str">
        <f t="shared" si="0"/>
        <v>ErgänzungsfuttermittelKatzeVitamin-Spurenelement-Präparat</v>
      </c>
      <c r="E29" s="4" t="s">
        <v>91</v>
      </c>
      <c r="F29" s="19" t="s">
        <v>90</v>
      </c>
      <c r="G29" s="4" t="s">
        <v>2902</v>
      </c>
      <c r="L29" s="4" t="s">
        <v>2764</v>
      </c>
      <c r="M29">
        <f t="shared" si="8"/>
        <v>3.3</v>
      </c>
      <c r="N29">
        <f t="shared" si="9"/>
        <v>34.9</v>
      </c>
      <c r="P29">
        <f t="shared" si="10"/>
        <v>4.7</v>
      </c>
      <c r="R29">
        <f t="shared" si="11"/>
        <v>17.600000000000001</v>
      </c>
      <c r="U29" s="33" t="str">
        <f t="shared" si="2"/>
        <v/>
      </c>
      <c r="X29" s="4">
        <v>700</v>
      </c>
      <c r="AB29" s="4">
        <v>130</v>
      </c>
      <c r="AC29" s="4">
        <v>210</v>
      </c>
      <c r="AF29" s="4">
        <f t="shared" si="13"/>
        <v>0</v>
      </c>
      <c r="AL29" s="4">
        <f t="shared" si="12"/>
        <v>0</v>
      </c>
      <c r="AN29" s="4">
        <v>250</v>
      </c>
      <c r="AZ29" s="4">
        <v>1000</v>
      </c>
      <c r="BA29" s="4">
        <v>166.67</v>
      </c>
      <c r="BB29" s="4">
        <v>1</v>
      </c>
      <c r="BC29" s="4" t="s">
        <v>2764</v>
      </c>
      <c r="BD29" s="4" t="s">
        <v>2751</v>
      </c>
      <c r="BE29" s="4" t="s">
        <v>91</v>
      </c>
      <c r="BF29" s="4">
        <v>3.3</v>
      </c>
      <c r="BG29" s="4">
        <v>34.9</v>
      </c>
      <c r="BI29" s="4">
        <v>4.7</v>
      </c>
      <c r="BK29" s="4">
        <v>17.600000000000001</v>
      </c>
      <c r="BL29" s="4" t="s">
        <v>2765</v>
      </c>
      <c r="BM29" s="4" t="s">
        <v>2766</v>
      </c>
    </row>
    <row r="30" spans="4:65">
      <c r="D30" s="17" t="str">
        <f t="shared" si="0"/>
        <v>ErgänzungsfuttermittelKatzeVitamin-Spurenelement-Präparat</v>
      </c>
      <c r="E30" s="4" t="s">
        <v>91</v>
      </c>
      <c r="F30" s="19" t="s">
        <v>90</v>
      </c>
      <c r="G30" s="4" t="s">
        <v>2902</v>
      </c>
      <c r="L30" s="4" t="s">
        <v>423</v>
      </c>
      <c r="M30">
        <f t="shared" si="8"/>
        <v>38.5</v>
      </c>
      <c r="N30">
        <f t="shared" si="9"/>
        <v>5.2</v>
      </c>
      <c r="P30">
        <f t="shared" si="10"/>
        <v>0.6</v>
      </c>
      <c r="R30">
        <f t="shared" si="11"/>
        <v>0.2</v>
      </c>
      <c r="U30" s="33" t="str">
        <f t="shared" si="2"/>
        <v/>
      </c>
      <c r="V30" s="4">
        <v>1000</v>
      </c>
      <c r="X30" s="4">
        <v>12800</v>
      </c>
      <c r="Z30" s="4">
        <v>300</v>
      </c>
      <c r="AA30" s="4">
        <v>20</v>
      </c>
      <c r="AB30" s="4">
        <v>116</v>
      </c>
      <c r="AC30" s="4">
        <v>28</v>
      </c>
      <c r="AD30" s="4">
        <v>5600</v>
      </c>
      <c r="AF30" s="4">
        <f t="shared" si="13"/>
        <v>9090</v>
      </c>
      <c r="AG30" s="4">
        <v>30300</v>
      </c>
      <c r="AK30" s="4">
        <v>3030</v>
      </c>
      <c r="AL30" s="4">
        <f t="shared" si="12"/>
        <v>75.75</v>
      </c>
      <c r="AN30" s="4">
        <v>678</v>
      </c>
      <c r="AO30" s="4">
        <v>46.5</v>
      </c>
      <c r="AP30" s="4">
        <v>36.4</v>
      </c>
      <c r="AQ30" s="4">
        <v>32</v>
      </c>
      <c r="AR30" s="4">
        <v>303</v>
      </c>
      <c r="AS30" s="4">
        <v>1200</v>
      </c>
      <c r="AT30" s="4">
        <v>326</v>
      </c>
      <c r="AU30" s="4">
        <v>90</v>
      </c>
      <c r="AV30" s="4">
        <v>8400</v>
      </c>
      <c r="BA30" s="4">
        <v>110</v>
      </c>
      <c r="BB30" s="4">
        <v>1.25</v>
      </c>
      <c r="BC30" s="4" t="s">
        <v>423</v>
      </c>
      <c r="BD30" s="4" t="s">
        <v>424</v>
      </c>
      <c r="BE30" s="4" t="s">
        <v>91</v>
      </c>
      <c r="BF30" s="4">
        <v>38.5</v>
      </c>
      <c r="BG30" s="4">
        <v>5.2</v>
      </c>
      <c r="BI30" s="4">
        <v>0.6</v>
      </c>
      <c r="BK30" s="4">
        <v>0.2</v>
      </c>
      <c r="BL30" s="4" t="s">
        <v>426</v>
      </c>
      <c r="BM30" s="4" t="s">
        <v>425</v>
      </c>
    </row>
    <row r="31" spans="4:65">
      <c r="D31" s="17" t="str">
        <f t="shared" si="0"/>
        <v>ErgänzungsfuttermittelKatzeVitamin-Spurenelement-Präparat</v>
      </c>
      <c r="E31" s="4" t="s">
        <v>91</v>
      </c>
      <c r="F31" s="19" t="s">
        <v>90</v>
      </c>
      <c r="G31" s="4" t="s">
        <v>2902</v>
      </c>
      <c r="L31" s="4" t="s">
        <v>204</v>
      </c>
      <c r="M31">
        <f t="shared" si="8"/>
        <v>35</v>
      </c>
      <c r="N31">
        <f t="shared" si="9"/>
        <v>0</v>
      </c>
      <c r="O31"/>
      <c r="P31">
        <f t="shared" si="10"/>
        <v>0</v>
      </c>
      <c r="Q31"/>
      <c r="R31">
        <f t="shared" si="11"/>
        <v>0</v>
      </c>
      <c r="U31" s="33" t="str">
        <f t="shared" si="2"/>
        <v/>
      </c>
      <c r="W31" s="4">
        <v>800</v>
      </c>
      <c r="X31" s="4">
        <v>2000</v>
      </c>
      <c r="Y31" s="4">
        <v>3500</v>
      </c>
      <c r="AF31" s="4">
        <f t="shared" si="13"/>
        <v>0</v>
      </c>
      <c r="AL31" s="4">
        <f t="shared" si="12"/>
        <v>0</v>
      </c>
      <c r="AR31" s="4">
        <v>10</v>
      </c>
      <c r="BA31" s="4">
        <v>1390</v>
      </c>
      <c r="BC31" s="4" t="s">
        <v>204</v>
      </c>
      <c r="BD31" s="4" t="s">
        <v>96</v>
      </c>
      <c r="BE31" s="4" t="s">
        <v>91</v>
      </c>
      <c r="BF31" s="4">
        <v>35</v>
      </c>
      <c r="BG31" s="4">
        <v>0</v>
      </c>
      <c r="BI31" s="4">
        <v>0</v>
      </c>
      <c r="BJ31" s="4">
        <f>100-(BF31+BG31+BI31)</f>
        <v>65</v>
      </c>
      <c r="BK31" s="4">
        <v>0</v>
      </c>
      <c r="BL31" s="4" t="s">
        <v>206</v>
      </c>
      <c r="BM31" s="4" t="s">
        <v>205</v>
      </c>
    </row>
    <row r="32" spans="4:65">
      <c r="D32" s="17" t="str">
        <f t="shared" si="0"/>
        <v>ErgänzungsfuttermittelKatzeVitamin-Spurenelement-Präparat</v>
      </c>
      <c r="E32" s="4" t="s">
        <v>91</v>
      </c>
      <c r="F32" s="19" t="s">
        <v>90</v>
      </c>
      <c r="G32" s="4" t="s">
        <v>2902</v>
      </c>
      <c r="L32" s="4" t="s">
        <v>1310</v>
      </c>
      <c r="M32">
        <f t="shared" si="8"/>
        <v>7.5</v>
      </c>
      <c r="N32">
        <f t="shared" si="9"/>
        <v>26.9</v>
      </c>
      <c r="P32">
        <f t="shared" si="10"/>
        <v>8.1</v>
      </c>
      <c r="R32">
        <f t="shared" si="11"/>
        <v>0.7</v>
      </c>
      <c r="U32" s="33" t="str">
        <f t="shared" si="2"/>
        <v/>
      </c>
      <c r="AB32" s="4">
        <v>400</v>
      </c>
      <c r="AF32" s="4">
        <f t="shared" si="13"/>
        <v>0</v>
      </c>
      <c r="AL32" s="4">
        <f t="shared" si="12"/>
        <v>0</v>
      </c>
      <c r="AO32" s="4">
        <v>2500</v>
      </c>
      <c r="BB32" s="4">
        <v>2</v>
      </c>
      <c r="BC32" s="4" t="s">
        <v>1310</v>
      </c>
      <c r="BD32" s="4" t="s">
        <v>1285</v>
      </c>
      <c r="BE32" s="4" t="s">
        <v>91</v>
      </c>
      <c r="BF32" s="4">
        <v>7.5</v>
      </c>
      <c r="BG32" s="4">
        <v>26.9</v>
      </c>
      <c r="BI32" s="4">
        <v>8.1</v>
      </c>
      <c r="BK32" s="4">
        <v>0.7</v>
      </c>
      <c r="BL32" s="4" t="s">
        <v>1312</v>
      </c>
      <c r="BM32" s="4" t="s">
        <v>1311</v>
      </c>
    </row>
    <row r="33" spans="4:65">
      <c r="D33" s="17" t="str">
        <f t="shared" si="0"/>
        <v>ErgänzungsfuttermittelKatzeVitamin-Spurenelement-Präparat</v>
      </c>
      <c r="E33" s="4" t="s">
        <v>91</v>
      </c>
      <c r="F33" s="19" t="s">
        <v>90</v>
      </c>
      <c r="G33" s="4" t="s">
        <v>2902</v>
      </c>
      <c r="L33" s="4" t="s">
        <v>542</v>
      </c>
      <c r="M33">
        <f t="shared" si="8"/>
        <v>0.3</v>
      </c>
      <c r="N33">
        <f t="shared" si="9"/>
        <v>0.5</v>
      </c>
      <c r="P33">
        <f t="shared" si="10"/>
        <v>27.5</v>
      </c>
      <c r="R33">
        <f t="shared" si="11"/>
        <v>5.2</v>
      </c>
      <c r="U33" s="33" t="str">
        <f t="shared" si="2"/>
        <v/>
      </c>
      <c r="Z33" s="4">
        <v>9.5</v>
      </c>
      <c r="AC33" s="4">
        <v>17</v>
      </c>
      <c r="AD33" s="4">
        <v>8500</v>
      </c>
      <c r="AF33" s="4">
        <f t="shared" si="13"/>
        <v>4050</v>
      </c>
      <c r="AG33" s="4">
        <v>13500</v>
      </c>
      <c r="AK33" s="4">
        <v>1000</v>
      </c>
      <c r="AL33" s="4">
        <f t="shared" si="12"/>
        <v>25</v>
      </c>
      <c r="AN33" s="4">
        <v>90</v>
      </c>
      <c r="AO33" s="4">
        <v>28</v>
      </c>
      <c r="AP33" s="4">
        <v>0.2</v>
      </c>
      <c r="AQ33" s="4">
        <v>13</v>
      </c>
      <c r="AR33" s="4">
        <v>33</v>
      </c>
      <c r="BA33" s="4">
        <v>95.5</v>
      </c>
      <c r="BB33" s="4">
        <v>6</v>
      </c>
      <c r="BC33" s="4" t="s">
        <v>542</v>
      </c>
      <c r="BD33" s="4" t="s">
        <v>539</v>
      </c>
      <c r="BE33" s="4" t="s">
        <v>91</v>
      </c>
      <c r="BF33" s="4">
        <v>0.3</v>
      </c>
      <c r="BG33" s="4">
        <v>0.5</v>
      </c>
      <c r="BI33" s="4">
        <v>27.5</v>
      </c>
      <c r="BK33" s="4">
        <v>5.2</v>
      </c>
      <c r="BL33" s="4" t="s">
        <v>544</v>
      </c>
      <c r="BM33" s="4" t="s">
        <v>543</v>
      </c>
    </row>
    <row r="34" spans="4:65">
      <c r="D34" s="17" t="str">
        <f t="shared" si="0"/>
        <v>ErgänzungsfuttermittelKatzeVitamin-Spurenelement-Präparat</v>
      </c>
      <c r="E34" s="4" t="s">
        <v>91</v>
      </c>
      <c r="F34" s="19" t="s">
        <v>90</v>
      </c>
      <c r="G34" s="4" t="s">
        <v>2902</v>
      </c>
      <c r="L34" s="4" t="s">
        <v>587</v>
      </c>
      <c r="M34">
        <f t="shared" si="8"/>
        <v>5.5</v>
      </c>
      <c r="N34">
        <f t="shared" si="9"/>
        <v>5</v>
      </c>
      <c r="P34">
        <f t="shared" si="10"/>
        <v>36.5</v>
      </c>
      <c r="R34">
        <f t="shared" si="11"/>
        <v>2.5</v>
      </c>
      <c r="U34" s="33" t="str">
        <f t="shared" si="2"/>
        <v/>
      </c>
      <c r="AB34" s="4">
        <v>9.9</v>
      </c>
      <c r="AF34" s="4">
        <f t="shared" si="13"/>
        <v>0</v>
      </c>
      <c r="AK34" s="4">
        <v>114.7</v>
      </c>
      <c r="AL34" s="4">
        <f t="shared" si="12"/>
        <v>2.8675000000000002</v>
      </c>
      <c r="AN34" s="4">
        <v>166</v>
      </c>
      <c r="AO34" s="4">
        <v>2.7</v>
      </c>
      <c r="AP34" s="4">
        <v>2</v>
      </c>
      <c r="AQ34" s="4">
        <v>1.3</v>
      </c>
      <c r="AR34" s="4">
        <v>9.3000000000000007</v>
      </c>
      <c r="AS34" s="4">
        <v>179.9</v>
      </c>
      <c r="AT34" s="4">
        <v>93.7</v>
      </c>
      <c r="AU34" s="4">
        <v>15</v>
      </c>
      <c r="AV34" s="4">
        <v>18000</v>
      </c>
      <c r="AX34" s="4">
        <v>0.1</v>
      </c>
      <c r="AY34" s="4">
        <v>266</v>
      </c>
      <c r="AZ34" s="4">
        <v>200</v>
      </c>
      <c r="BA34" s="4">
        <v>44.95</v>
      </c>
      <c r="BB34" s="4">
        <v>3</v>
      </c>
      <c r="BC34" s="4" t="s">
        <v>585</v>
      </c>
      <c r="BD34" s="4" t="s">
        <v>578</v>
      </c>
      <c r="BE34" s="4" t="s">
        <v>91</v>
      </c>
      <c r="BF34" s="4">
        <v>5.5</v>
      </c>
      <c r="BG34" s="4">
        <v>5</v>
      </c>
      <c r="BI34" s="4">
        <v>36.5</v>
      </c>
      <c r="BK34" s="4">
        <v>2.5</v>
      </c>
      <c r="BL34" s="4" t="s">
        <v>586</v>
      </c>
      <c r="BM34" s="4" t="s">
        <v>584</v>
      </c>
    </row>
    <row r="35" spans="4:65">
      <c r="D35" s="17" t="str">
        <f t="shared" si="0"/>
        <v>ErgänzungsfuttermittelKatzeVitamin-Spurenelement-Präparat</v>
      </c>
      <c r="E35" s="4" t="s">
        <v>91</v>
      </c>
      <c r="F35" s="19" t="s">
        <v>90</v>
      </c>
      <c r="G35" s="4" t="s">
        <v>2902</v>
      </c>
      <c r="L35" s="4" t="s">
        <v>963</v>
      </c>
      <c r="M35">
        <f t="shared" si="8"/>
        <v>14</v>
      </c>
      <c r="N35">
        <f t="shared" si="9"/>
        <v>23</v>
      </c>
      <c r="P35">
        <f t="shared" si="10"/>
        <v>15.5</v>
      </c>
      <c r="R35">
        <f t="shared" si="11"/>
        <v>1.5</v>
      </c>
      <c r="U35" s="33" t="str">
        <f t="shared" si="2"/>
        <v/>
      </c>
      <c r="AB35" s="4">
        <v>300</v>
      </c>
      <c r="AF35" s="4">
        <f t="shared" si="13"/>
        <v>0</v>
      </c>
      <c r="AL35" s="4">
        <f t="shared" si="12"/>
        <v>0</v>
      </c>
      <c r="AN35" s="4">
        <v>5000</v>
      </c>
      <c r="BA35" s="4">
        <v>662.5</v>
      </c>
      <c r="BB35" s="4">
        <v>0.9</v>
      </c>
      <c r="BC35" s="4" t="s">
        <v>963</v>
      </c>
      <c r="BD35" s="4" t="s">
        <v>960</v>
      </c>
      <c r="BE35" s="4" t="s">
        <v>91</v>
      </c>
      <c r="BF35" s="4">
        <v>14</v>
      </c>
      <c r="BG35" s="4">
        <v>23</v>
      </c>
      <c r="BI35" s="4">
        <v>15.5</v>
      </c>
      <c r="BK35" s="4">
        <v>1.5</v>
      </c>
      <c r="BL35" s="4" t="s">
        <v>965</v>
      </c>
      <c r="BM35" s="4" t="s">
        <v>964</v>
      </c>
    </row>
    <row r="36" spans="4:65">
      <c r="D36" s="17" t="str">
        <f t="shared" ref="D36:D67" si="14">E36&amp;""&amp;F36&amp;""&amp;G36&amp;""&amp;H36</f>
        <v>ErgänzungsfuttermittelKatzeVitamin-Spurenelement-Präparat</v>
      </c>
      <c r="E36" s="4" t="s">
        <v>91</v>
      </c>
      <c r="F36" s="19" t="s">
        <v>90</v>
      </c>
      <c r="G36" s="4" t="s">
        <v>2902</v>
      </c>
      <c r="L36" s="4" t="s">
        <v>969</v>
      </c>
      <c r="M36">
        <f t="shared" si="8"/>
        <v>13</v>
      </c>
      <c r="N36">
        <f t="shared" si="9"/>
        <v>22</v>
      </c>
      <c r="P36">
        <f t="shared" si="10"/>
        <v>16</v>
      </c>
      <c r="R36">
        <f t="shared" si="11"/>
        <v>6.5</v>
      </c>
      <c r="U36" s="33" t="str">
        <f t="shared" si="2"/>
        <v/>
      </c>
      <c r="AB36" s="4">
        <v>350</v>
      </c>
      <c r="AF36" s="4">
        <f t="shared" si="13"/>
        <v>0</v>
      </c>
      <c r="AL36" s="4">
        <f t="shared" si="12"/>
        <v>0</v>
      </c>
      <c r="AN36" s="4">
        <v>1150</v>
      </c>
      <c r="BA36" s="4">
        <v>765.7</v>
      </c>
      <c r="BB36" s="4">
        <v>0.8</v>
      </c>
      <c r="BC36" s="4" t="s">
        <v>970</v>
      </c>
      <c r="BD36" s="4" t="s">
        <v>960</v>
      </c>
      <c r="BE36" s="4" t="s">
        <v>91</v>
      </c>
      <c r="BF36" s="4">
        <v>13</v>
      </c>
      <c r="BG36" s="4">
        <v>22</v>
      </c>
      <c r="BI36" s="4">
        <v>16</v>
      </c>
      <c r="BK36" s="4">
        <v>6.5</v>
      </c>
      <c r="BL36" s="4" t="s">
        <v>972</v>
      </c>
      <c r="BM36" s="4" t="s">
        <v>971</v>
      </c>
    </row>
    <row r="37" spans="4:65">
      <c r="D37" s="17" t="str">
        <f t="shared" si="14"/>
        <v>ErgänzungsfuttermittelKatzeVitamin-Spurenelement-Präparat</v>
      </c>
      <c r="E37" s="4" t="s">
        <v>91</v>
      </c>
      <c r="F37" s="19" t="s">
        <v>90</v>
      </c>
      <c r="G37" s="4" t="s">
        <v>2902</v>
      </c>
      <c r="L37" s="4" t="s">
        <v>973</v>
      </c>
      <c r="M37">
        <f t="shared" si="8"/>
        <v>13</v>
      </c>
      <c r="N37">
        <f t="shared" si="9"/>
        <v>22</v>
      </c>
      <c r="P37">
        <f t="shared" si="10"/>
        <v>16</v>
      </c>
      <c r="R37">
        <f t="shared" si="11"/>
        <v>6.5</v>
      </c>
      <c r="U37" s="33" t="str">
        <f t="shared" si="2"/>
        <v/>
      </c>
      <c r="AB37" s="4">
        <v>340</v>
      </c>
      <c r="AF37" s="4">
        <f t="shared" si="13"/>
        <v>0</v>
      </c>
      <c r="AL37" s="4">
        <f t="shared" si="12"/>
        <v>0</v>
      </c>
      <c r="AN37" s="4">
        <v>1100</v>
      </c>
      <c r="BA37" s="4">
        <v>622</v>
      </c>
      <c r="BB37" s="4">
        <v>1.2</v>
      </c>
      <c r="BC37" s="4" t="s">
        <v>974</v>
      </c>
      <c r="BD37" s="4" t="s">
        <v>960</v>
      </c>
      <c r="BE37" s="4" t="s">
        <v>91</v>
      </c>
      <c r="BF37" s="4">
        <v>13</v>
      </c>
      <c r="BG37" s="4">
        <v>22</v>
      </c>
      <c r="BI37" s="4">
        <v>16</v>
      </c>
      <c r="BK37" s="4">
        <v>6.5</v>
      </c>
      <c r="BL37" s="4" t="s">
        <v>976</v>
      </c>
      <c r="BM37" s="4" t="s">
        <v>975</v>
      </c>
    </row>
    <row r="38" spans="4:65">
      <c r="D38" s="17" t="str">
        <f t="shared" si="14"/>
        <v>ErgänzungsfuttermittelKatzeVitamin-Spurenelement-Präparat</v>
      </c>
      <c r="E38" s="4" t="s">
        <v>91</v>
      </c>
      <c r="F38" s="19" t="s">
        <v>90</v>
      </c>
      <c r="G38" s="4" t="s">
        <v>2902</v>
      </c>
      <c r="L38" s="4" t="s">
        <v>887</v>
      </c>
      <c r="M38">
        <f t="shared" ref="M38:M69" si="15">BF38</f>
        <v>10.4</v>
      </c>
      <c r="N38">
        <f t="shared" ref="N38:N40" si="16">BG38</f>
        <v>38.200000000000003</v>
      </c>
      <c r="P38">
        <f t="shared" si="10"/>
        <v>7.8</v>
      </c>
      <c r="R38">
        <f t="shared" si="11"/>
        <v>0.6</v>
      </c>
      <c r="U38" s="33" t="str">
        <f t="shared" si="2"/>
        <v/>
      </c>
      <c r="AB38" s="4">
        <v>390</v>
      </c>
      <c r="AF38" s="4">
        <f t="shared" si="13"/>
        <v>15000</v>
      </c>
      <c r="AG38" s="4">
        <v>50000</v>
      </c>
      <c r="AL38" s="4">
        <f t="shared" si="12"/>
        <v>0</v>
      </c>
      <c r="AN38" s="4">
        <v>200</v>
      </c>
      <c r="AO38" s="4">
        <v>980</v>
      </c>
      <c r="AP38" s="4">
        <v>320</v>
      </c>
      <c r="AQ38" s="4">
        <v>84</v>
      </c>
      <c r="AR38" s="4">
        <v>5200</v>
      </c>
      <c r="AS38" s="4">
        <v>107800</v>
      </c>
      <c r="AT38" s="4">
        <v>10</v>
      </c>
      <c r="AU38" s="4">
        <v>2.5</v>
      </c>
      <c r="AV38" s="4">
        <v>600</v>
      </c>
      <c r="AW38" s="4">
        <v>1000</v>
      </c>
      <c r="AZ38" s="4">
        <v>6400</v>
      </c>
      <c r="BA38" s="4">
        <v>157.5</v>
      </c>
      <c r="BB38" s="4">
        <v>1.5</v>
      </c>
      <c r="BC38" s="4" t="s">
        <v>885</v>
      </c>
      <c r="BD38" s="4" t="s">
        <v>883</v>
      </c>
      <c r="BE38" s="4" t="s">
        <v>91</v>
      </c>
      <c r="BF38" s="4">
        <v>10.4</v>
      </c>
      <c r="BG38" s="4">
        <v>38.200000000000003</v>
      </c>
      <c r="BI38" s="4">
        <v>7.8</v>
      </c>
      <c r="BK38" s="4">
        <v>0.6</v>
      </c>
      <c r="BL38" s="4" t="s">
        <v>886</v>
      </c>
      <c r="BM38" s="4" t="s">
        <v>884</v>
      </c>
    </row>
    <row r="39" spans="4:65">
      <c r="D39" s="17" t="str">
        <f t="shared" si="14"/>
        <v>ErgänzungsfuttermittelKatzeVitamin-Spurenelement-Präparat</v>
      </c>
      <c r="E39" s="4" t="s">
        <v>91</v>
      </c>
      <c r="F39" s="4" t="s">
        <v>90</v>
      </c>
      <c r="G39" s="4" t="s">
        <v>2902</v>
      </c>
      <c r="L39" s="4" t="s">
        <v>891</v>
      </c>
      <c r="M39">
        <f t="shared" si="15"/>
        <v>7.5</v>
      </c>
      <c r="N39">
        <f t="shared" si="16"/>
        <v>46</v>
      </c>
      <c r="P39">
        <f t="shared" si="10"/>
        <v>4</v>
      </c>
      <c r="R39">
        <f t="shared" si="11"/>
        <v>0.4</v>
      </c>
      <c r="U39" s="33" t="str">
        <f t="shared" si="2"/>
        <v/>
      </c>
      <c r="AA39" s="4">
        <v>120</v>
      </c>
      <c r="AB39" s="4">
        <v>130</v>
      </c>
      <c r="AC39" s="4">
        <v>210</v>
      </c>
      <c r="AF39" s="4">
        <f t="shared" si="13"/>
        <v>0</v>
      </c>
      <c r="AL39" s="4">
        <f t="shared" si="12"/>
        <v>0</v>
      </c>
      <c r="AN39" s="4">
        <v>500</v>
      </c>
      <c r="AZ39" s="4">
        <v>3440</v>
      </c>
      <c r="BA39" s="4">
        <v>182.5</v>
      </c>
      <c r="BB39" s="4">
        <v>1</v>
      </c>
      <c r="BC39" s="4" t="s">
        <v>892</v>
      </c>
      <c r="BD39" s="4" t="s">
        <v>883</v>
      </c>
      <c r="BE39" s="4" t="s">
        <v>91</v>
      </c>
      <c r="BF39" s="4">
        <v>7.5</v>
      </c>
      <c r="BG39" s="4">
        <v>46</v>
      </c>
      <c r="BI39" s="4">
        <v>4</v>
      </c>
      <c r="BK39" s="4">
        <v>0.4</v>
      </c>
      <c r="BL39" s="4" t="s">
        <v>894</v>
      </c>
      <c r="BM39" s="4" t="s">
        <v>893</v>
      </c>
    </row>
    <row r="40" spans="4:65">
      <c r="D40" s="17" t="str">
        <f t="shared" si="14"/>
        <v>ErgänzungsfuttermittelKatzeVitamin-Spurenelement-Präparat</v>
      </c>
      <c r="E40" s="4" t="s">
        <v>91</v>
      </c>
      <c r="F40" s="19" t="s">
        <v>90</v>
      </c>
      <c r="G40" s="4" t="s">
        <v>2902</v>
      </c>
      <c r="L40" s="4" t="s">
        <v>898</v>
      </c>
      <c r="M40">
        <f t="shared" si="15"/>
        <v>25.5</v>
      </c>
      <c r="N40">
        <f t="shared" si="16"/>
        <v>29.3</v>
      </c>
      <c r="P40">
        <f t="shared" ref="P40:P71" si="17">BI40</f>
        <v>2.8</v>
      </c>
      <c r="R40">
        <f t="shared" ref="R40:R71" si="18">BK40</f>
        <v>1.7</v>
      </c>
      <c r="U40" s="33" t="str">
        <f t="shared" si="2"/>
        <v/>
      </c>
      <c r="AE40" s="4">
        <v>45</v>
      </c>
      <c r="AF40" s="4">
        <f t="shared" si="13"/>
        <v>0</v>
      </c>
      <c r="AL40" s="4">
        <f t="shared" si="12"/>
        <v>0</v>
      </c>
      <c r="AO40" s="4">
        <v>4500</v>
      </c>
      <c r="AP40" s="4">
        <v>1450</v>
      </c>
      <c r="AQ40" s="4">
        <v>1350</v>
      </c>
      <c r="AR40" s="4">
        <v>24000</v>
      </c>
      <c r="AT40" s="4">
        <v>45</v>
      </c>
      <c r="AU40" s="4">
        <v>12</v>
      </c>
      <c r="AV40" s="4">
        <v>2800</v>
      </c>
      <c r="AX40" s="4">
        <v>2</v>
      </c>
      <c r="BC40" s="4" t="s">
        <v>899</v>
      </c>
      <c r="BD40" s="4" t="s">
        <v>883</v>
      </c>
      <c r="BE40" s="4" t="s">
        <v>91</v>
      </c>
      <c r="BF40" s="4">
        <v>25.5</v>
      </c>
      <c r="BG40" s="4">
        <v>29.3</v>
      </c>
      <c r="BI40" s="4">
        <v>2.8</v>
      </c>
      <c r="BK40" s="4">
        <v>1.7</v>
      </c>
      <c r="BL40" s="4" t="s">
        <v>901</v>
      </c>
      <c r="BM40" s="4" t="s">
        <v>900</v>
      </c>
    </row>
    <row r="41" spans="4:65">
      <c r="D41" s="17" t="str">
        <f t="shared" si="14"/>
        <v>ErgänzungsfuttermittelKatzeVitamin-Spurenelement-Präparat</v>
      </c>
      <c r="E41" s="4" t="s">
        <v>91</v>
      </c>
      <c r="F41" s="19" t="s">
        <v>90</v>
      </c>
      <c r="G41" s="4" t="s">
        <v>2902</v>
      </c>
      <c r="L41" s="4" t="s">
        <v>959</v>
      </c>
      <c r="M41">
        <f t="shared" si="15"/>
        <v>11.1</v>
      </c>
      <c r="N41">
        <f t="shared" ref="N41:N72" si="19">BG41</f>
        <v>21</v>
      </c>
      <c r="P41">
        <f t="shared" si="17"/>
        <v>17.5</v>
      </c>
      <c r="R41">
        <f t="shared" si="18"/>
        <v>6</v>
      </c>
      <c r="S41" s="4">
        <v>8000</v>
      </c>
      <c r="T41" s="4">
        <v>4000</v>
      </c>
      <c r="U41" s="33">
        <f t="shared" si="2"/>
        <v>2</v>
      </c>
      <c r="V41" s="4">
        <v>2000</v>
      </c>
      <c r="X41" s="4">
        <v>2000</v>
      </c>
      <c r="AB41" s="4">
        <v>220</v>
      </c>
      <c r="AD41" s="4">
        <v>4500</v>
      </c>
      <c r="AE41" s="4">
        <v>1100</v>
      </c>
      <c r="AF41" s="4">
        <f t="shared" si="13"/>
        <v>0</v>
      </c>
      <c r="AK41" s="4">
        <v>8500</v>
      </c>
      <c r="AL41" s="4">
        <f t="shared" si="12"/>
        <v>212.5</v>
      </c>
      <c r="AN41" s="4">
        <v>1700</v>
      </c>
      <c r="AO41" s="4">
        <v>90</v>
      </c>
      <c r="AP41" s="4">
        <v>85</v>
      </c>
      <c r="AQ41" s="4">
        <v>85</v>
      </c>
      <c r="AR41" s="4">
        <v>210</v>
      </c>
      <c r="AS41" s="4">
        <v>7500</v>
      </c>
      <c r="AT41" s="4">
        <v>330</v>
      </c>
      <c r="AU41" s="4">
        <v>350</v>
      </c>
      <c r="AV41" s="4">
        <v>35</v>
      </c>
      <c r="BA41" s="4">
        <v>446</v>
      </c>
      <c r="BB41" s="4">
        <v>0.6</v>
      </c>
      <c r="BC41" s="4" t="s">
        <v>959</v>
      </c>
      <c r="BD41" s="4" t="s">
        <v>960</v>
      </c>
      <c r="BE41" s="4" t="s">
        <v>91</v>
      </c>
      <c r="BF41" s="4">
        <v>11.1</v>
      </c>
      <c r="BG41" s="4">
        <v>21</v>
      </c>
      <c r="BI41" s="4">
        <v>17.5</v>
      </c>
      <c r="BK41" s="4">
        <v>6</v>
      </c>
      <c r="BL41" s="4" t="s">
        <v>962</v>
      </c>
      <c r="BM41" s="4" t="s">
        <v>961</v>
      </c>
    </row>
    <row r="42" spans="4:65">
      <c r="D42" s="17" t="str">
        <f t="shared" si="14"/>
        <v>ErgänzungsfuttermittelKatzeVitamin-Spurenelement-Präparat</v>
      </c>
      <c r="E42" s="4" t="s">
        <v>91</v>
      </c>
      <c r="F42" s="4" t="s">
        <v>90</v>
      </c>
      <c r="G42" s="4" t="s">
        <v>2902</v>
      </c>
      <c r="L42" s="4" t="s">
        <v>966</v>
      </c>
      <c r="M42">
        <f t="shared" si="15"/>
        <v>12.5</v>
      </c>
      <c r="N42">
        <f t="shared" si="19"/>
        <v>30</v>
      </c>
      <c r="P42">
        <f t="shared" si="17"/>
        <v>10</v>
      </c>
      <c r="R42">
        <f t="shared" si="18"/>
        <v>5.2</v>
      </c>
      <c r="U42" s="33" t="str">
        <f t="shared" si="2"/>
        <v/>
      </c>
      <c r="AA42" s="4">
        <v>0.8</v>
      </c>
      <c r="AE42" s="4">
        <v>800</v>
      </c>
      <c r="AF42" s="4">
        <f t="shared" si="13"/>
        <v>0</v>
      </c>
      <c r="AL42" s="4">
        <f t="shared" si="12"/>
        <v>0</v>
      </c>
      <c r="AN42" s="4">
        <v>100</v>
      </c>
      <c r="AW42" s="4">
        <v>600</v>
      </c>
      <c r="BA42" s="4">
        <v>632.5</v>
      </c>
      <c r="BB42" s="4">
        <v>0.6</v>
      </c>
      <c r="BC42" s="4" t="s">
        <v>966</v>
      </c>
      <c r="BD42" s="4" t="s">
        <v>960</v>
      </c>
      <c r="BE42" s="4" t="s">
        <v>91</v>
      </c>
      <c r="BF42" s="4">
        <v>12.5</v>
      </c>
      <c r="BG42" s="4">
        <v>30</v>
      </c>
      <c r="BI42" s="4">
        <v>10</v>
      </c>
      <c r="BK42" s="4">
        <v>5.2</v>
      </c>
      <c r="BL42" s="4" t="s">
        <v>968</v>
      </c>
      <c r="BM42" s="4" t="s">
        <v>967</v>
      </c>
    </row>
    <row r="43" spans="4:65" s="27" customFormat="1">
      <c r="D43" s="34" t="str">
        <f t="shared" si="14"/>
        <v>ErgänzungsfuttermittelKatzeVitamin-Spurenelement-Präparat</v>
      </c>
      <c r="E43" s="27" t="s">
        <v>91</v>
      </c>
      <c r="F43" s="35" t="s">
        <v>90</v>
      </c>
      <c r="G43" s="27" t="s">
        <v>2902</v>
      </c>
      <c r="L43" s="27" t="s">
        <v>639</v>
      </c>
      <c r="M43" s="28">
        <f t="shared" si="15"/>
        <v>6.5</v>
      </c>
      <c r="N43" s="28">
        <f t="shared" si="19"/>
        <v>23.5</v>
      </c>
      <c r="P43" s="28">
        <f t="shared" si="17"/>
        <v>13</v>
      </c>
      <c r="R43" s="28">
        <f t="shared" si="18"/>
        <v>14.5</v>
      </c>
      <c r="U43" s="36" t="str">
        <f t="shared" si="2"/>
        <v/>
      </c>
      <c r="AB43" s="27">
        <v>9.9</v>
      </c>
      <c r="AF43" s="27">
        <f t="shared" si="13"/>
        <v>0</v>
      </c>
      <c r="AK43" s="27">
        <v>114.7</v>
      </c>
      <c r="AL43" s="27">
        <f t="shared" si="12"/>
        <v>2.8675000000000002</v>
      </c>
      <c r="AN43" s="27">
        <v>26</v>
      </c>
      <c r="AO43" s="27">
        <v>2.7</v>
      </c>
      <c r="AP43" s="27">
        <v>2</v>
      </c>
      <c r="AQ43" s="27">
        <v>1.3</v>
      </c>
      <c r="AR43" s="27">
        <v>9.3000000000000007</v>
      </c>
      <c r="AS43" s="27">
        <v>179.9</v>
      </c>
      <c r="AT43" s="27">
        <v>93.7</v>
      </c>
      <c r="AU43" s="27">
        <v>15</v>
      </c>
      <c r="AV43" s="27">
        <v>18000</v>
      </c>
      <c r="AW43" s="27">
        <v>10</v>
      </c>
      <c r="AX43" s="27">
        <v>0.1</v>
      </c>
      <c r="AY43" s="27">
        <v>266</v>
      </c>
      <c r="BA43" s="27">
        <v>49.75</v>
      </c>
      <c r="BC43" s="27" t="s">
        <v>640</v>
      </c>
      <c r="BD43" s="27" t="s">
        <v>578</v>
      </c>
      <c r="BE43" s="27" t="s">
        <v>91</v>
      </c>
      <c r="BF43" s="27">
        <v>6.5</v>
      </c>
      <c r="BG43" s="27">
        <v>23.5</v>
      </c>
      <c r="BI43" s="27">
        <v>13</v>
      </c>
      <c r="BK43" s="27">
        <v>14.5</v>
      </c>
      <c r="BL43" s="27" t="s">
        <v>642</v>
      </c>
      <c r="BM43" s="27" t="s">
        <v>641</v>
      </c>
    </row>
    <row r="44" spans="4:65">
      <c r="D44" s="17" t="str">
        <f t="shared" si="14"/>
        <v>ErgänzungsfuttermittelKatzeVitamin-Spurenelement-Präparat</v>
      </c>
      <c r="E44" s="4" t="s">
        <v>91</v>
      </c>
      <c r="F44" s="19" t="s">
        <v>90</v>
      </c>
      <c r="G44" s="4" t="s">
        <v>2902</v>
      </c>
      <c r="L44" s="4" t="s">
        <v>698</v>
      </c>
      <c r="M44">
        <f t="shared" si="15"/>
        <v>2.9</v>
      </c>
      <c r="N44">
        <f t="shared" si="19"/>
        <v>13</v>
      </c>
      <c r="P44">
        <f t="shared" si="17"/>
        <v>60</v>
      </c>
      <c r="R44">
        <f t="shared" si="18"/>
        <v>0</v>
      </c>
      <c r="S44" s="4">
        <v>310</v>
      </c>
      <c r="T44" s="4">
        <v>270</v>
      </c>
      <c r="U44" s="33">
        <f t="shared" si="2"/>
        <v>1.1481481481481481</v>
      </c>
      <c r="V44" s="4">
        <v>1.17</v>
      </c>
      <c r="X44" s="4">
        <v>200</v>
      </c>
      <c r="AB44" s="4">
        <v>1.95</v>
      </c>
      <c r="AD44" s="4">
        <v>9715</v>
      </c>
      <c r="AE44" s="4">
        <v>7800</v>
      </c>
      <c r="AF44" s="4">
        <f t="shared" ref="AF44:AF53" si="20">AG44*$BO$13</f>
        <v>292.5</v>
      </c>
      <c r="AG44" s="4">
        <v>975</v>
      </c>
      <c r="AK44" s="4">
        <v>78</v>
      </c>
      <c r="AL44" s="4">
        <f t="shared" si="12"/>
        <v>1.9500000000000002</v>
      </c>
      <c r="AO44" s="4">
        <v>0.2</v>
      </c>
      <c r="AP44" s="4">
        <v>0.12</v>
      </c>
      <c r="AQ44" s="4">
        <v>0.12</v>
      </c>
      <c r="AR44" s="4">
        <v>2300</v>
      </c>
      <c r="AW44" s="4">
        <v>200</v>
      </c>
      <c r="BB44" s="4">
        <v>3.5</v>
      </c>
      <c r="BC44" s="4" t="s">
        <v>701</v>
      </c>
      <c r="BD44" s="4" t="s">
        <v>680</v>
      </c>
      <c r="BE44" s="4" t="s">
        <v>91</v>
      </c>
      <c r="BF44" s="4">
        <v>2.9</v>
      </c>
      <c r="BG44" s="4">
        <v>13</v>
      </c>
      <c r="BI44" s="4">
        <v>60</v>
      </c>
      <c r="BL44" s="4" t="s">
        <v>700</v>
      </c>
      <c r="BM44" s="4" t="s">
        <v>699</v>
      </c>
    </row>
    <row r="45" spans="4:65">
      <c r="D45" s="17" t="str">
        <f t="shared" si="14"/>
        <v>ErgänzungsfuttermittelKatzeVitamin-Spurenelement-Präparat</v>
      </c>
      <c r="E45" s="4" t="s">
        <v>91</v>
      </c>
      <c r="F45" s="19" t="s">
        <v>90</v>
      </c>
      <c r="G45" s="4" t="s">
        <v>2902</v>
      </c>
      <c r="L45" s="4" t="s">
        <v>654</v>
      </c>
      <c r="M45">
        <f t="shared" si="15"/>
        <v>1</v>
      </c>
      <c r="N45">
        <f t="shared" si="19"/>
        <v>13.5</v>
      </c>
      <c r="P45">
        <f t="shared" si="17"/>
        <v>24</v>
      </c>
      <c r="R45">
        <f t="shared" si="18"/>
        <v>1</v>
      </c>
      <c r="U45" s="33" t="str">
        <f t="shared" si="2"/>
        <v/>
      </c>
      <c r="Z45" s="4">
        <v>2.4750000000000001</v>
      </c>
      <c r="AB45" s="4">
        <v>0.27800000000000002</v>
      </c>
      <c r="AC45" s="4">
        <v>2.1</v>
      </c>
      <c r="AD45" s="4">
        <v>548</v>
      </c>
      <c r="AE45" s="4">
        <v>32</v>
      </c>
      <c r="AF45" s="4">
        <f t="shared" si="20"/>
        <v>1886.25</v>
      </c>
      <c r="AG45" s="4">
        <v>6287.5</v>
      </c>
      <c r="AK45" s="4">
        <v>200</v>
      </c>
      <c r="AL45" s="4">
        <f t="shared" si="12"/>
        <v>5</v>
      </c>
      <c r="AO45" s="4">
        <v>7.5</v>
      </c>
      <c r="AP45" s="4">
        <v>7.5</v>
      </c>
      <c r="AQ45" s="4">
        <v>5</v>
      </c>
      <c r="AR45" s="4">
        <v>7.5</v>
      </c>
      <c r="AS45" s="4">
        <v>0.02</v>
      </c>
      <c r="AT45" s="4">
        <v>15</v>
      </c>
      <c r="AU45" s="4">
        <v>15</v>
      </c>
      <c r="AV45" s="4">
        <v>125000</v>
      </c>
      <c r="AY45" s="4">
        <v>200</v>
      </c>
      <c r="AZ45" s="4">
        <v>500</v>
      </c>
      <c r="BA45" s="4">
        <v>89.9</v>
      </c>
      <c r="BB45" s="4">
        <v>2.4</v>
      </c>
      <c r="BC45" s="4" t="s">
        <v>655</v>
      </c>
      <c r="BD45" s="4" t="s">
        <v>646</v>
      </c>
      <c r="BE45" s="4" t="s">
        <v>91</v>
      </c>
      <c r="BF45" s="4">
        <v>1</v>
      </c>
      <c r="BG45" s="4">
        <v>13.5</v>
      </c>
      <c r="BI45" s="4">
        <v>24</v>
      </c>
      <c r="BK45" s="4">
        <v>1</v>
      </c>
      <c r="BL45" s="4" t="s">
        <v>657</v>
      </c>
      <c r="BM45" s="4" t="s">
        <v>656</v>
      </c>
    </row>
    <row r="46" spans="4:65">
      <c r="D46" s="17" t="str">
        <f t="shared" si="14"/>
        <v>ErgänzungsfuttermittelKatzeVitamin-Spurenelement-Präparat</v>
      </c>
      <c r="E46" s="4" t="s">
        <v>91</v>
      </c>
      <c r="F46" s="19" t="s">
        <v>90</v>
      </c>
      <c r="G46" s="4" t="s">
        <v>2902</v>
      </c>
      <c r="L46" s="4" t="s">
        <v>658</v>
      </c>
      <c r="M46">
        <f t="shared" si="15"/>
        <v>1.2</v>
      </c>
      <c r="N46">
        <f t="shared" si="19"/>
        <v>7</v>
      </c>
      <c r="P46">
        <f t="shared" si="17"/>
        <v>16</v>
      </c>
      <c r="R46">
        <f t="shared" si="18"/>
        <v>0.1</v>
      </c>
      <c r="U46" s="33" t="str">
        <f t="shared" si="2"/>
        <v/>
      </c>
      <c r="Z46" s="4">
        <v>2.4750000000000001</v>
      </c>
      <c r="AB46" s="4">
        <v>0.27800000000000002</v>
      </c>
      <c r="AC46" s="4">
        <v>2.1</v>
      </c>
      <c r="AD46" s="4">
        <v>548</v>
      </c>
      <c r="AE46" s="4">
        <v>32</v>
      </c>
      <c r="AF46" s="4">
        <f t="shared" si="20"/>
        <v>1612.5</v>
      </c>
      <c r="AG46" s="4">
        <v>5375</v>
      </c>
      <c r="AL46" s="4">
        <f t="shared" si="12"/>
        <v>0</v>
      </c>
      <c r="AO46" s="4">
        <v>6.45</v>
      </c>
      <c r="AP46" s="4">
        <v>6.45</v>
      </c>
      <c r="AQ46" s="4">
        <v>4.3</v>
      </c>
      <c r="AR46" s="4">
        <v>6.5</v>
      </c>
      <c r="AS46" s="4">
        <v>1.7000000000000001E-2</v>
      </c>
      <c r="AT46" s="4">
        <v>12.9</v>
      </c>
      <c r="AU46" s="4">
        <v>12.9</v>
      </c>
      <c r="AV46" s="4">
        <v>1075</v>
      </c>
      <c r="AY46" s="4">
        <v>200</v>
      </c>
      <c r="AZ46" s="4">
        <v>500</v>
      </c>
      <c r="BA46" s="4">
        <v>79.900000000000006</v>
      </c>
      <c r="BB46" s="4">
        <v>2.4</v>
      </c>
      <c r="BC46" s="4" t="s">
        <v>659</v>
      </c>
      <c r="BD46" s="4" t="s">
        <v>646</v>
      </c>
      <c r="BE46" s="4" t="s">
        <v>91</v>
      </c>
      <c r="BF46" s="4">
        <v>1.2</v>
      </c>
      <c r="BG46" s="4">
        <v>7</v>
      </c>
      <c r="BI46" s="4">
        <v>16</v>
      </c>
      <c r="BK46" s="4">
        <v>0.1</v>
      </c>
      <c r="BL46" s="4" t="s">
        <v>661</v>
      </c>
      <c r="BM46" s="4" t="s">
        <v>660</v>
      </c>
    </row>
    <row r="47" spans="4:65">
      <c r="D47" s="17" t="str">
        <f t="shared" si="14"/>
        <v>ErgänzungsfuttermittelKatzeVitamin-Spurenelement-Präparat</v>
      </c>
      <c r="E47" s="4" t="s">
        <v>91</v>
      </c>
      <c r="F47" s="19" t="s">
        <v>90</v>
      </c>
      <c r="G47" s="4" t="s">
        <v>2902</v>
      </c>
      <c r="L47" s="4" t="s">
        <v>662</v>
      </c>
      <c r="M47">
        <f t="shared" si="15"/>
        <v>3</v>
      </c>
      <c r="N47">
        <f t="shared" si="19"/>
        <v>15</v>
      </c>
      <c r="P47">
        <f t="shared" si="17"/>
        <v>16</v>
      </c>
      <c r="R47">
        <f t="shared" si="18"/>
        <v>0.6</v>
      </c>
      <c r="U47" s="33" t="str">
        <f t="shared" si="2"/>
        <v/>
      </c>
      <c r="Z47" s="4">
        <v>2.4500000000000002</v>
      </c>
      <c r="AB47" s="4">
        <v>0.27500000000000002</v>
      </c>
      <c r="AC47" s="4">
        <v>2.09</v>
      </c>
      <c r="AD47" s="4">
        <v>543</v>
      </c>
      <c r="AE47" s="4">
        <v>32</v>
      </c>
      <c r="AF47" s="4">
        <f t="shared" si="20"/>
        <v>937.5</v>
      </c>
      <c r="AG47" s="4">
        <v>3125</v>
      </c>
      <c r="AK47" s="4">
        <v>200</v>
      </c>
      <c r="AL47" s="4">
        <f t="shared" si="12"/>
        <v>5</v>
      </c>
      <c r="AO47" s="4">
        <v>3.75</v>
      </c>
      <c r="AP47" s="4">
        <v>3.75</v>
      </c>
      <c r="AQ47" s="4">
        <v>2.5</v>
      </c>
      <c r="AR47" s="4">
        <v>3.7</v>
      </c>
      <c r="AS47" s="4">
        <v>0.01</v>
      </c>
      <c r="AT47" s="4">
        <v>7.5</v>
      </c>
      <c r="AU47" s="4">
        <v>7.5</v>
      </c>
      <c r="AV47" s="4">
        <v>625</v>
      </c>
      <c r="AZ47" s="4">
        <v>500</v>
      </c>
      <c r="BA47" s="4">
        <v>84.9</v>
      </c>
      <c r="BB47" s="4">
        <v>2.4</v>
      </c>
      <c r="BC47" s="4" t="s">
        <v>663</v>
      </c>
      <c r="BD47" s="4" t="s">
        <v>646</v>
      </c>
      <c r="BE47" s="4" t="s">
        <v>91</v>
      </c>
      <c r="BF47" s="4">
        <v>3</v>
      </c>
      <c r="BG47" s="4">
        <v>15</v>
      </c>
      <c r="BI47" s="4">
        <v>16</v>
      </c>
      <c r="BK47" s="4">
        <v>0.6</v>
      </c>
      <c r="BL47" s="4" t="s">
        <v>665</v>
      </c>
      <c r="BM47" s="4" t="s">
        <v>664</v>
      </c>
    </row>
    <row r="48" spans="4:65">
      <c r="D48" s="17" t="str">
        <f t="shared" si="14"/>
        <v>ErgänzungsfuttermittelKatzeVitamin-Spurenelement-Präparat</v>
      </c>
      <c r="E48" s="4" t="s">
        <v>91</v>
      </c>
      <c r="F48" s="19" t="s">
        <v>90</v>
      </c>
      <c r="G48" s="4" t="s">
        <v>2902</v>
      </c>
      <c r="L48" s="4" t="s">
        <v>860</v>
      </c>
      <c r="M48">
        <f t="shared" si="15"/>
        <v>11.6</v>
      </c>
      <c r="N48">
        <f t="shared" si="19"/>
        <v>43.2</v>
      </c>
      <c r="P48">
        <f t="shared" si="17"/>
        <v>11.1</v>
      </c>
      <c r="R48">
        <f t="shared" si="18"/>
        <v>3.4</v>
      </c>
      <c r="U48" s="33" t="str">
        <f t="shared" si="2"/>
        <v/>
      </c>
      <c r="AB48" s="4">
        <v>135</v>
      </c>
      <c r="AF48" s="4">
        <f t="shared" si="20"/>
        <v>0</v>
      </c>
      <c r="AL48" s="4">
        <f t="shared" si="12"/>
        <v>0</v>
      </c>
      <c r="AR48" s="4">
        <v>1000</v>
      </c>
      <c r="AV48" s="4">
        <v>2100</v>
      </c>
      <c r="BA48" s="4">
        <v>416.67</v>
      </c>
      <c r="BB48" s="4">
        <v>1.06</v>
      </c>
      <c r="BC48" s="4" t="s">
        <v>860</v>
      </c>
      <c r="BD48" s="4" t="s">
        <v>854</v>
      </c>
      <c r="BE48" s="4" t="s">
        <v>91</v>
      </c>
      <c r="BF48" s="4">
        <v>11.6</v>
      </c>
      <c r="BG48" s="4">
        <v>43.2</v>
      </c>
      <c r="BI48" s="4">
        <v>11.1</v>
      </c>
      <c r="BK48" s="4">
        <v>3.4</v>
      </c>
      <c r="BL48" s="4" t="s">
        <v>862</v>
      </c>
      <c r="BM48" s="4" t="s">
        <v>861</v>
      </c>
    </row>
    <row r="49" spans="4:65">
      <c r="D49" s="17" t="str">
        <f t="shared" si="14"/>
        <v>ErgänzungsfuttermittelKatzeVitamin-Spurenelement-Präparat</v>
      </c>
      <c r="E49" s="4" t="s">
        <v>91</v>
      </c>
      <c r="F49" s="4" t="s">
        <v>90</v>
      </c>
      <c r="G49" s="4" t="s">
        <v>2902</v>
      </c>
      <c r="L49" s="4" t="s">
        <v>863</v>
      </c>
      <c r="M49">
        <f t="shared" si="15"/>
        <v>0.9</v>
      </c>
      <c r="N49">
        <f t="shared" si="19"/>
        <v>7.1</v>
      </c>
      <c r="P49">
        <f t="shared" si="17"/>
        <v>2</v>
      </c>
      <c r="R49">
        <f t="shared" si="18"/>
        <v>0.7</v>
      </c>
      <c r="U49" s="33" t="str">
        <f t="shared" si="2"/>
        <v/>
      </c>
      <c r="AE49" s="4">
        <v>1000</v>
      </c>
      <c r="AF49" s="4">
        <f t="shared" si="20"/>
        <v>0</v>
      </c>
      <c r="AL49" s="4">
        <f t="shared" si="12"/>
        <v>0</v>
      </c>
      <c r="AN49" s="4">
        <v>117.5</v>
      </c>
      <c r="AO49" s="4">
        <v>10.5</v>
      </c>
      <c r="AP49" s="4">
        <v>10.5</v>
      </c>
      <c r="AQ49" s="4">
        <v>25</v>
      </c>
      <c r="AR49" s="4">
        <v>245</v>
      </c>
      <c r="AS49" s="4">
        <v>520</v>
      </c>
      <c r="AT49" s="4">
        <v>69</v>
      </c>
      <c r="AU49" s="4">
        <v>25.5</v>
      </c>
      <c r="AV49" s="4">
        <v>3000</v>
      </c>
      <c r="AZ49" s="4">
        <v>1000</v>
      </c>
      <c r="BA49" s="4">
        <v>400</v>
      </c>
      <c r="BB49" s="4">
        <v>1</v>
      </c>
      <c r="BC49" s="4" t="s">
        <v>863</v>
      </c>
      <c r="BD49" s="4" t="s">
        <v>854</v>
      </c>
      <c r="BE49" s="4" t="s">
        <v>91</v>
      </c>
      <c r="BF49" s="4">
        <v>0.9</v>
      </c>
      <c r="BG49" s="4">
        <v>7.1</v>
      </c>
      <c r="BI49" s="4">
        <v>2</v>
      </c>
      <c r="BK49" s="4">
        <v>0.7</v>
      </c>
      <c r="BL49" s="4" t="s">
        <v>865</v>
      </c>
      <c r="BM49" s="4" t="s">
        <v>864</v>
      </c>
    </row>
    <row r="50" spans="4:65">
      <c r="D50" s="17" t="str">
        <f t="shared" si="14"/>
        <v>ErgänzungsfuttermittelKatzeVitamin-Spurenelement-Präparat</v>
      </c>
      <c r="E50" s="4" t="s">
        <v>91</v>
      </c>
      <c r="F50" s="4" t="s">
        <v>90</v>
      </c>
      <c r="G50" s="4" t="s">
        <v>2902</v>
      </c>
      <c r="L50" s="4" t="s">
        <v>844</v>
      </c>
      <c r="M50">
        <f t="shared" si="15"/>
        <v>2</v>
      </c>
      <c r="N50">
        <f t="shared" si="19"/>
        <v>4</v>
      </c>
      <c r="P50">
        <f t="shared" si="17"/>
        <v>4</v>
      </c>
      <c r="R50">
        <f t="shared" si="18"/>
        <v>1.5</v>
      </c>
      <c r="U50" s="33" t="str">
        <f t="shared" si="2"/>
        <v/>
      </c>
      <c r="AA50" s="4">
        <v>5</v>
      </c>
      <c r="AB50" s="4">
        <v>50</v>
      </c>
      <c r="AF50" s="4">
        <f t="shared" si="20"/>
        <v>900</v>
      </c>
      <c r="AG50" s="4">
        <v>3000</v>
      </c>
      <c r="AL50" s="4">
        <f t="shared" si="12"/>
        <v>0</v>
      </c>
      <c r="AN50" s="4">
        <v>600</v>
      </c>
      <c r="AO50" s="4">
        <v>8</v>
      </c>
      <c r="AP50" s="4">
        <v>5</v>
      </c>
      <c r="AQ50" s="4">
        <v>4</v>
      </c>
      <c r="AR50" s="4">
        <v>25</v>
      </c>
      <c r="AS50" s="4">
        <v>7500</v>
      </c>
      <c r="AT50" s="4">
        <v>40</v>
      </c>
      <c r="AU50" s="4">
        <v>6</v>
      </c>
      <c r="BA50" s="4">
        <v>67.959999999999994</v>
      </c>
      <c r="BB50" s="4">
        <v>10</v>
      </c>
      <c r="BC50" s="4" t="s">
        <v>844</v>
      </c>
      <c r="BD50" s="4" t="s">
        <v>834</v>
      </c>
      <c r="BE50" s="4" t="s">
        <v>91</v>
      </c>
      <c r="BF50" s="4">
        <v>2</v>
      </c>
      <c r="BG50" s="4">
        <v>4</v>
      </c>
      <c r="BI50" s="4">
        <v>4</v>
      </c>
      <c r="BK50" s="4">
        <v>1.5</v>
      </c>
      <c r="BL50" s="4" t="s">
        <v>845</v>
      </c>
      <c r="BM50" s="4" t="s">
        <v>846</v>
      </c>
    </row>
    <row r="51" spans="4:65">
      <c r="D51" s="17" t="str">
        <f t="shared" si="14"/>
        <v>ErgänzungsfuttermittelKatzeVitamin-Spurenelement-Präparat</v>
      </c>
      <c r="E51" s="4" t="s">
        <v>91</v>
      </c>
      <c r="F51" s="19" t="s">
        <v>90</v>
      </c>
      <c r="G51" s="4" t="s">
        <v>2902</v>
      </c>
      <c r="L51" s="4" t="s">
        <v>977</v>
      </c>
      <c r="M51">
        <f t="shared" si="15"/>
        <v>31</v>
      </c>
      <c r="N51">
        <f t="shared" si="19"/>
        <v>11</v>
      </c>
      <c r="P51">
        <f t="shared" si="17"/>
        <v>8</v>
      </c>
      <c r="R51">
        <f t="shared" si="18"/>
        <v>12.5</v>
      </c>
      <c r="U51" s="33" t="str">
        <f t="shared" si="2"/>
        <v/>
      </c>
      <c r="AB51" s="4">
        <v>250</v>
      </c>
      <c r="AE51" s="4">
        <v>2000</v>
      </c>
      <c r="AF51" s="4">
        <f t="shared" si="20"/>
        <v>0</v>
      </c>
      <c r="AL51" s="4">
        <f t="shared" si="12"/>
        <v>0</v>
      </c>
      <c r="AT51" s="4">
        <v>2000</v>
      </c>
      <c r="AV51" s="4">
        <v>120000</v>
      </c>
      <c r="BA51" s="4">
        <v>497.5</v>
      </c>
      <c r="BB51" s="4">
        <v>1.2</v>
      </c>
      <c r="BC51" s="4" t="s">
        <v>977</v>
      </c>
      <c r="BD51" s="4" t="s">
        <v>960</v>
      </c>
      <c r="BE51" s="4" t="s">
        <v>91</v>
      </c>
      <c r="BF51" s="4">
        <v>31</v>
      </c>
      <c r="BG51" s="4">
        <v>11</v>
      </c>
      <c r="BI51" s="4">
        <v>8</v>
      </c>
      <c r="BK51" s="4">
        <v>12.5</v>
      </c>
      <c r="BL51" s="4" t="s">
        <v>979</v>
      </c>
      <c r="BM51" s="4" t="s">
        <v>978</v>
      </c>
    </row>
    <row r="52" spans="4:65">
      <c r="D52" s="17" t="str">
        <f t="shared" si="14"/>
        <v>ErgänzungsfuttermittelKatzeVitamin-Spurenelement-Präparat</v>
      </c>
      <c r="E52" s="4" t="s">
        <v>91</v>
      </c>
      <c r="F52" s="4" t="s">
        <v>90</v>
      </c>
      <c r="G52" s="4" t="s">
        <v>2902</v>
      </c>
      <c r="L52" s="4" t="s">
        <v>992</v>
      </c>
      <c r="M52">
        <f t="shared" si="15"/>
        <v>17.399999999999999</v>
      </c>
      <c r="N52">
        <f t="shared" si="19"/>
        <v>28</v>
      </c>
      <c r="P52">
        <f t="shared" si="17"/>
        <v>10.8</v>
      </c>
      <c r="R52">
        <f t="shared" si="18"/>
        <v>5.7</v>
      </c>
      <c r="U52" s="33" t="str">
        <f t="shared" si="2"/>
        <v/>
      </c>
      <c r="AB52" s="4">
        <v>340</v>
      </c>
      <c r="AF52" s="4">
        <f t="shared" si="20"/>
        <v>0</v>
      </c>
      <c r="AL52" s="4">
        <f t="shared" si="12"/>
        <v>0</v>
      </c>
      <c r="AN52" s="4">
        <v>1800</v>
      </c>
      <c r="AS52" s="4">
        <v>35000</v>
      </c>
      <c r="AW52" s="4">
        <v>2300</v>
      </c>
      <c r="BA52" s="4">
        <v>720</v>
      </c>
      <c r="BB52" s="4">
        <v>0.6</v>
      </c>
      <c r="BC52" s="4" t="s">
        <v>992</v>
      </c>
      <c r="BD52" s="4" t="s">
        <v>960</v>
      </c>
      <c r="BE52" s="4" t="s">
        <v>91</v>
      </c>
      <c r="BF52" s="4">
        <v>17.399999999999999</v>
      </c>
      <c r="BG52" s="4">
        <v>28</v>
      </c>
      <c r="BI52" s="4">
        <v>10.8</v>
      </c>
      <c r="BK52" s="4">
        <v>5.7</v>
      </c>
      <c r="BL52" s="4" t="s">
        <v>994</v>
      </c>
      <c r="BM52" s="4" t="s">
        <v>993</v>
      </c>
    </row>
    <row r="53" spans="4:65">
      <c r="D53" s="17" t="str">
        <f t="shared" si="14"/>
        <v>ErgänzungsfuttermittelKatzeVitamin-Spurenelement-Präparat</v>
      </c>
      <c r="E53" s="4" t="s">
        <v>91</v>
      </c>
      <c r="F53" s="19" t="s">
        <v>90</v>
      </c>
      <c r="G53" s="4" t="s">
        <v>2902</v>
      </c>
      <c r="L53" s="4" t="s">
        <v>995</v>
      </c>
      <c r="M53">
        <f t="shared" si="15"/>
        <v>0</v>
      </c>
      <c r="N53">
        <f t="shared" si="19"/>
        <v>0</v>
      </c>
      <c r="P53">
        <f t="shared" si="17"/>
        <v>0</v>
      </c>
      <c r="R53">
        <f t="shared" si="18"/>
        <v>0</v>
      </c>
      <c r="S53" s="4">
        <v>28000</v>
      </c>
      <c r="T53" s="4">
        <v>1</v>
      </c>
      <c r="U53" s="33">
        <f t="shared" si="2"/>
        <v>28000</v>
      </c>
      <c r="V53" s="4">
        <v>600</v>
      </c>
      <c r="X53" s="4">
        <v>600</v>
      </c>
      <c r="Z53" s="4">
        <v>600</v>
      </c>
      <c r="AA53" s="4">
        <v>40</v>
      </c>
      <c r="AB53" s="4">
        <v>500</v>
      </c>
      <c r="AC53" s="4">
        <v>40</v>
      </c>
      <c r="AD53" s="4">
        <v>10000</v>
      </c>
      <c r="AE53" s="4">
        <v>900</v>
      </c>
      <c r="AF53" s="4">
        <f t="shared" si="20"/>
        <v>7500</v>
      </c>
      <c r="AG53" s="4">
        <v>25000</v>
      </c>
      <c r="AK53" s="4">
        <v>2200</v>
      </c>
      <c r="AL53" s="4">
        <f t="shared" si="12"/>
        <v>55</v>
      </c>
      <c r="AN53" s="4">
        <v>300</v>
      </c>
      <c r="AO53" s="4">
        <v>50</v>
      </c>
      <c r="AP53" s="4">
        <v>30</v>
      </c>
      <c r="AR53" s="4">
        <v>200</v>
      </c>
      <c r="AS53" s="4">
        <v>700</v>
      </c>
      <c r="AV53" s="4">
        <v>250</v>
      </c>
      <c r="AZ53" s="4">
        <v>3500</v>
      </c>
      <c r="BA53" s="4">
        <v>149.16999999999999</v>
      </c>
      <c r="BB53" s="4">
        <v>1</v>
      </c>
      <c r="BC53" s="4" t="s">
        <v>996</v>
      </c>
      <c r="BD53" s="4" t="s">
        <v>997</v>
      </c>
      <c r="BE53" s="4" t="s">
        <v>91</v>
      </c>
      <c r="BL53" s="4" t="s">
        <v>999</v>
      </c>
      <c r="BM53" s="4" t="s">
        <v>998</v>
      </c>
    </row>
    <row r="54" spans="4:65">
      <c r="D54" s="17" t="str">
        <f t="shared" si="14"/>
        <v>ErgänzungsfuttermittelKatzeVitamin-Spurenelement-Präparat</v>
      </c>
      <c r="E54" s="4" t="s">
        <v>91</v>
      </c>
      <c r="F54" s="19" t="s">
        <v>90</v>
      </c>
      <c r="G54" s="4" t="s">
        <v>2902</v>
      </c>
      <c r="L54" s="4" t="s">
        <v>745</v>
      </c>
      <c r="M54">
        <f t="shared" si="15"/>
        <v>0.8</v>
      </c>
      <c r="N54">
        <f t="shared" si="19"/>
        <v>0</v>
      </c>
      <c r="P54">
        <f t="shared" si="17"/>
        <v>0.2</v>
      </c>
      <c r="R54">
        <f t="shared" si="18"/>
        <v>0.5</v>
      </c>
      <c r="U54" s="33" t="str">
        <f t="shared" si="2"/>
        <v/>
      </c>
      <c r="AB54" s="4">
        <v>50</v>
      </c>
      <c r="AF54" s="4">
        <f>AG54*EFM!$BO$13</f>
        <v>0</v>
      </c>
      <c r="AL54" s="4">
        <f t="shared" si="12"/>
        <v>0</v>
      </c>
      <c r="AS54" s="4">
        <v>33300</v>
      </c>
      <c r="BA54" s="4">
        <v>149.9</v>
      </c>
      <c r="BB54" s="4">
        <v>3</v>
      </c>
      <c r="BC54" s="4" t="s">
        <v>746</v>
      </c>
      <c r="BD54" s="4" t="s">
        <v>703</v>
      </c>
      <c r="BE54" s="4" t="s">
        <v>91</v>
      </c>
      <c r="BF54" s="4">
        <v>0.8</v>
      </c>
      <c r="BG54" s="4">
        <v>0</v>
      </c>
      <c r="BI54" s="4">
        <v>0.2</v>
      </c>
      <c r="BJ54" s="4">
        <f>100-(BF54+BG54+BI54)</f>
        <v>99</v>
      </c>
      <c r="BK54" s="4">
        <v>0.5</v>
      </c>
      <c r="BL54" s="4" t="s">
        <v>748</v>
      </c>
      <c r="BM54" s="4" t="s">
        <v>747</v>
      </c>
    </row>
    <row r="55" spans="4:65">
      <c r="D55" s="17" t="str">
        <f t="shared" si="14"/>
        <v>ErgänzungsfuttermittelKatzeVitamin-Spurenelement-Präparat</v>
      </c>
      <c r="E55" s="4" t="s">
        <v>91</v>
      </c>
      <c r="F55" s="19" t="s">
        <v>90</v>
      </c>
      <c r="G55" s="4" t="s">
        <v>2902</v>
      </c>
      <c r="L55" s="4" t="s">
        <v>2834</v>
      </c>
      <c r="M55">
        <f t="shared" si="15"/>
        <v>11.2</v>
      </c>
      <c r="N55">
        <f t="shared" si="19"/>
        <v>36.9</v>
      </c>
      <c r="P55">
        <f t="shared" si="17"/>
        <v>13</v>
      </c>
      <c r="R55">
        <f t="shared" si="18"/>
        <v>2.2000000000000002</v>
      </c>
      <c r="U55" s="33" t="str">
        <f t="shared" si="2"/>
        <v/>
      </c>
      <c r="AA55" s="4">
        <v>1.6</v>
      </c>
      <c r="AB55" s="4">
        <v>12</v>
      </c>
      <c r="AC55" s="4">
        <v>12</v>
      </c>
      <c r="AE55" s="4">
        <v>115</v>
      </c>
      <c r="AF55" s="4">
        <f>AG55*$BO$13</f>
        <v>750</v>
      </c>
      <c r="AG55" s="4">
        <v>2500</v>
      </c>
      <c r="AK55" s="4">
        <v>250</v>
      </c>
      <c r="AL55" s="4">
        <f t="shared" si="12"/>
        <v>6.25</v>
      </c>
      <c r="AN55" s="4">
        <v>1079</v>
      </c>
      <c r="AO55" s="4">
        <v>4.2</v>
      </c>
      <c r="AP55" s="4">
        <v>10.8</v>
      </c>
      <c r="AQ55" s="4">
        <v>8.9</v>
      </c>
      <c r="AR55" s="4">
        <v>69.7</v>
      </c>
      <c r="AS55" s="4">
        <v>177</v>
      </c>
      <c r="AT55" s="4">
        <v>45</v>
      </c>
      <c r="AU55" s="4">
        <v>27</v>
      </c>
      <c r="AV55" s="4">
        <v>1690</v>
      </c>
      <c r="AW55" s="4">
        <v>1110</v>
      </c>
      <c r="AX55" s="4">
        <v>7.3</v>
      </c>
      <c r="BA55" s="4">
        <v>344.27</v>
      </c>
      <c r="BB55" s="4">
        <v>0.9</v>
      </c>
      <c r="BC55" s="4" t="s">
        <v>2834</v>
      </c>
      <c r="BD55" s="4" t="s">
        <v>2831</v>
      </c>
      <c r="BE55" s="4" t="s">
        <v>91</v>
      </c>
      <c r="BF55" s="4">
        <v>11.2</v>
      </c>
      <c r="BG55" s="4">
        <v>36.9</v>
      </c>
      <c r="BI55" s="4">
        <v>13</v>
      </c>
      <c r="BK55" s="4">
        <v>2.2000000000000002</v>
      </c>
      <c r="BL55" s="4" t="s">
        <v>2836</v>
      </c>
      <c r="BM55" s="4" t="s">
        <v>2835</v>
      </c>
    </row>
    <row r="56" spans="4:65">
      <c r="D56" s="17" t="str">
        <f t="shared" si="14"/>
        <v>ErgänzungsfuttermittelKatzeVitamin-Spurenelement-Präparat</v>
      </c>
      <c r="E56" s="4" t="s">
        <v>91</v>
      </c>
      <c r="F56" s="19" t="s">
        <v>90</v>
      </c>
      <c r="G56" s="4" t="s">
        <v>2902</v>
      </c>
      <c r="L56" s="4" t="s">
        <v>2837</v>
      </c>
      <c r="M56">
        <f t="shared" si="15"/>
        <v>13</v>
      </c>
      <c r="N56">
        <f t="shared" si="19"/>
        <v>37.4</v>
      </c>
      <c r="P56">
        <f t="shared" si="17"/>
        <v>13.1</v>
      </c>
      <c r="R56">
        <f t="shared" si="18"/>
        <v>1.9</v>
      </c>
      <c r="U56" s="33" t="str">
        <f t="shared" si="2"/>
        <v/>
      </c>
      <c r="AA56" s="4">
        <v>6.4</v>
      </c>
      <c r="AB56" s="4">
        <v>48</v>
      </c>
      <c r="AC56" s="4">
        <v>48</v>
      </c>
      <c r="AE56" s="4">
        <v>460</v>
      </c>
      <c r="AF56" s="4">
        <f>AG56*$BO$13</f>
        <v>3000</v>
      </c>
      <c r="AG56" s="4">
        <v>10000</v>
      </c>
      <c r="AK56" s="4">
        <v>1000</v>
      </c>
      <c r="AL56" s="4">
        <f t="shared" si="12"/>
        <v>25</v>
      </c>
      <c r="AN56" s="4">
        <v>2316</v>
      </c>
      <c r="AO56" s="4">
        <v>16.7</v>
      </c>
      <c r="AP56" s="4">
        <v>43.1</v>
      </c>
      <c r="AQ56" s="4">
        <v>35.6</v>
      </c>
      <c r="AR56" s="4">
        <v>278.60000000000002</v>
      </c>
      <c r="AS56" s="4">
        <v>707</v>
      </c>
      <c r="AT56" s="4">
        <v>181</v>
      </c>
      <c r="AU56" s="4">
        <v>108</v>
      </c>
      <c r="AV56" s="4">
        <v>6760</v>
      </c>
      <c r="AW56" s="4">
        <v>1440</v>
      </c>
      <c r="AX56" s="4">
        <v>29</v>
      </c>
      <c r="AZ56" s="4">
        <v>4000</v>
      </c>
      <c r="BA56" s="4">
        <v>344.27</v>
      </c>
      <c r="BB56" s="4">
        <v>0.9</v>
      </c>
      <c r="BC56" s="4" t="s">
        <v>2837</v>
      </c>
      <c r="BD56" s="4" t="s">
        <v>2831</v>
      </c>
      <c r="BE56" s="4" t="s">
        <v>91</v>
      </c>
      <c r="BF56" s="4">
        <v>13</v>
      </c>
      <c r="BG56" s="4">
        <v>37.4</v>
      </c>
      <c r="BI56" s="4">
        <v>13.1</v>
      </c>
      <c r="BK56" s="4">
        <v>1.9</v>
      </c>
      <c r="BL56" s="4" t="s">
        <v>2839</v>
      </c>
      <c r="BM56" s="4" t="s">
        <v>2838</v>
      </c>
    </row>
    <row r="57" spans="4:65">
      <c r="D57" s="17" t="str">
        <f t="shared" si="14"/>
        <v>ErgänzungsfuttermittelKatzeVitamin-Spurenelement-Präparat</v>
      </c>
      <c r="E57" s="4" t="s">
        <v>91</v>
      </c>
      <c r="F57" s="19" t="s">
        <v>90</v>
      </c>
      <c r="G57" s="4" t="s">
        <v>2902</v>
      </c>
      <c r="L57" s="4" t="s">
        <v>2840</v>
      </c>
      <c r="M57">
        <f t="shared" si="15"/>
        <v>10.8</v>
      </c>
      <c r="N57">
        <f t="shared" si="19"/>
        <v>40.6</v>
      </c>
      <c r="P57">
        <f t="shared" si="17"/>
        <v>12.8</v>
      </c>
      <c r="R57">
        <f t="shared" si="18"/>
        <v>2</v>
      </c>
      <c r="U57" s="33" t="str">
        <f t="shared" si="2"/>
        <v/>
      </c>
      <c r="AA57" s="4">
        <v>3.2</v>
      </c>
      <c r="AB57" s="4">
        <v>24</v>
      </c>
      <c r="AC57" s="4">
        <v>24</v>
      </c>
      <c r="AE57" s="4">
        <v>230</v>
      </c>
      <c r="AF57" s="4">
        <f>AG57*$BO$13</f>
        <v>1500</v>
      </c>
      <c r="AG57" s="4">
        <v>5000</v>
      </c>
      <c r="AK57" s="4">
        <v>500</v>
      </c>
      <c r="AL57" s="4">
        <f t="shared" si="12"/>
        <v>12.5</v>
      </c>
      <c r="AN57" s="4">
        <v>658</v>
      </c>
      <c r="AO57" s="4">
        <v>8.3000000000000007</v>
      </c>
      <c r="AP57" s="4">
        <v>21.5</v>
      </c>
      <c r="AQ57" s="4">
        <v>17.8</v>
      </c>
      <c r="AR57" s="4">
        <v>139.30000000000001</v>
      </c>
      <c r="AS57" s="4">
        <v>353</v>
      </c>
      <c r="AT57" s="4">
        <v>90</v>
      </c>
      <c r="AU57" s="4">
        <v>54</v>
      </c>
      <c r="AV57" s="4">
        <v>3380</v>
      </c>
      <c r="AW57" s="4">
        <v>220</v>
      </c>
      <c r="AX57" s="4">
        <v>14.5</v>
      </c>
      <c r="AZ57" s="4">
        <v>4000</v>
      </c>
      <c r="BA57" s="4">
        <v>344.27</v>
      </c>
      <c r="BB57" s="4">
        <v>0.9</v>
      </c>
      <c r="BC57" s="4" t="s">
        <v>2840</v>
      </c>
      <c r="BD57" s="4" t="s">
        <v>2831</v>
      </c>
      <c r="BE57" s="4" t="s">
        <v>91</v>
      </c>
      <c r="BF57" s="4">
        <v>10.8</v>
      </c>
      <c r="BG57" s="4">
        <v>40.6</v>
      </c>
      <c r="BI57" s="4">
        <v>12.8</v>
      </c>
      <c r="BK57" s="4">
        <v>2</v>
      </c>
      <c r="BL57" s="4" t="s">
        <v>2842</v>
      </c>
      <c r="BM57" s="4" t="s">
        <v>2841</v>
      </c>
    </row>
    <row r="58" spans="4:65">
      <c r="D58" s="17" t="str">
        <f t="shared" si="14"/>
        <v>ErgänzungsfuttermittelKatzeVitamin-Spurenelement-Präparat</v>
      </c>
      <c r="E58" s="4" t="s">
        <v>91</v>
      </c>
      <c r="F58" s="19" t="s">
        <v>90</v>
      </c>
      <c r="G58" s="4" t="s">
        <v>2902</v>
      </c>
      <c r="L58" s="4" t="s">
        <v>2846</v>
      </c>
      <c r="M58">
        <f t="shared" si="15"/>
        <v>18.3</v>
      </c>
      <c r="N58">
        <f t="shared" si="19"/>
        <v>32.200000000000003</v>
      </c>
      <c r="P58">
        <f t="shared" si="17"/>
        <v>11.1</v>
      </c>
      <c r="R58">
        <f t="shared" si="18"/>
        <v>3.6</v>
      </c>
      <c r="U58" s="33" t="str">
        <f t="shared" si="2"/>
        <v/>
      </c>
      <c r="AA58" s="4">
        <v>4</v>
      </c>
      <c r="AB58" s="4">
        <v>30</v>
      </c>
      <c r="AC58" s="4">
        <v>30</v>
      </c>
      <c r="AE58" s="4">
        <v>288</v>
      </c>
      <c r="AF58" s="4">
        <f>AG58*$BO$13</f>
        <v>1875</v>
      </c>
      <c r="AG58" s="4">
        <v>6250</v>
      </c>
      <c r="AK58" s="4">
        <v>625</v>
      </c>
      <c r="AL58" s="4">
        <f t="shared" si="12"/>
        <v>15.625</v>
      </c>
      <c r="AN58" s="4">
        <v>697.5</v>
      </c>
      <c r="AO58" s="4">
        <v>10.4</v>
      </c>
      <c r="AP58" s="4">
        <v>26.9</v>
      </c>
      <c r="AQ58" s="4">
        <v>22.3</v>
      </c>
      <c r="AR58" s="4">
        <v>174.1</v>
      </c>
      <c r="AS58" s="4">
        <v>442</v>
      </c>
      <c r="AT58" s="4">
        <v>113</v>
      </c>
      <c r="AU58" s="4">
        <v>67.5</v>
      </c>
      <c r="AV58" s="4">
        <v>4230</v>
      </c>
      <c r="AW58" s="4">
        <v>275</v>
      </c>
      <c r="AX58" s="4">
        <v>18.2</v>
      </c>
      <c r="AZ58" s="4">
        <v>5000</v>
      </c>
      <c r="BA58" s="4">
        <v>328.39</v>
      </c>
      <c r="BB58" s="4">
        <v>0.9</v>
      </c>
      <c r="BC58" s="4" t="s">
        <v>2846</v>
      </c>
      <c r="BD58" s="4" t="s">
        <v>2831</v>
      </c>
      <c r="BE58" s="4" t="s">
        <v>91</v>
      </c>
      <c r="BF58" s="4">
        <v>18.3</v>
      </c>
      <c r="BG58" s="4">
        <v>32.200000000000003</v>
      </c>
      <c r="BI58" s="4">
        <v>11.1</v>
      </c>
      <c r="BK58" s="4">
        <v>3.6</v>
      </c>
      <c r="BL58" s="4" t="s">
        <v>2848</v>
      </c>
      <c r="BM58" s="4" t="s">
        <v>2847</v>
      </c>
    </row>
    <row r="59" spans="4:65">
      <c r="D59" s="17" t="str">
        <f t="shared" si="14"/>
        <v>ErgänzungsfuttermittelKatzeVitamin-Spurenelement-Präparat</v>
      </c>
      <c r="E59" s="4" t="s">
        <v>91</v>
      </c>
      <c r="F59" s="19" t="s">
        <v>90</v>
      </c>
      <c r="G59" s="4" t="s">
        <v>2902</v>
      </c>
      <c r="L59" s="4" t="s">
        <v>2849</v>
      </c>
      <c r="M59">
        <f t="shared" si="15"/>
        <v>10.8</v>
      </c>
      <c r="N59">
        <f t="shared" si="19"/>
        <v>40.6</v>
      </c>
      <c r="P59">
        <f t="shared" si="17"/>
        <v>12.8</v>
      </c>
      <c r="R59">
        <f t="shared" si="18"/>
        <v>2</v>
      </c>
      <c r="U59" s="33" t="str">
        <f t="shared" si="2"/>
        <v/>
      </c>
      <c r="AA59" s="4">
        <v>12.8</v>
      </c>
      <c r="AB59" s="4">
        <v>96</v>
      </c>
      <c r="AC59" s="4">
        <v>96</v>
      </c>
      <c r="AE59" s="4">
        <v>920</v>
      </c>
      <c r="AF59" s="4">
        <f>AG59*$BO$13</f>
        <v>36000</v>
      </c>
      <c r="AG59" s="4">
        <v>120000</v>
      </c>
      <c r="AK59" s="4">
        <v>2000</v>
      </c>
      <c r="AL59" s="4">
        <f t="shared" si="12"/>
        <v>50</v>
      </c>
      <c r="AN59" s="4">
        <v>632</v>
      </c>
      <c r="AO59" s="4">
        <v>33.4</v>
      </c>
      <c r="AP59" s="4">
        <v>86.1</v>
      </c>
      <c r="AQ59" s="4">
        <v>71.2</v>
      </c>
      <c r="AR59" s="4">
        <v>557.20000000000005</v>
      </c>
      <c r="AS59" s="4">
        <v>1413</v>
      </c>
      <c r="AT59" s="4">
        <v>361</v>
      </c>
      <c r="AU59" s="4">
        <v>216</v>
      </c>
      <c r="AV59" s="4">
        <v>13520</v>
      </c>
      <c r="AW59" s="4">
        <v>880</v>
      </c>
      <c r="AX59" s="4">
        <v>58.1</v>
      </c>
      <c r="BA59" s="4">
        <v>325.87</v>
      </c>
      <c r="BB59" s="4">
        <v>0.9</v>
      </c>
      <c r="BC59" s="4" t="s">
        <v>2849</v>
      </c>
      <c r="BD59" s="4" t="s">
        <v>2831</v>
      </c>
      <c r="BE59" s="4" t="s">
        <v>91</v>
      </c>
      <c r="BF59" s="4">
        <v>10.8</v>
      </c>
      <c r="BG59" s="4">
        <v>40.6</v>
      </c>
      <c r="BI59" s="4">
        <v>12.8</v>
      </c>
      <c r="BK59" s="4">
        <v>2</v>
      </c>
      <c r="BL59" s="4" t="s">
        <v>2851</v>
      </c>
      <c r="BM59" s="4" t="s">
        <v>2850</v>
      </c>
    </row>
    <row r="60" spans="4:65">
      <c r="D60" s="17" t="str">
        <f t="shared" si="14"/>
        <v>ErgänzungsfuttermittelKatzeVitamin-Spurenelement-Präparat</v>
      </c>
      <c r="E60" s="4" t="s">
        <v>91</v>
      </c>
      <c r="F60" s="19" t="s">
        <v>90</v>
      </c>
      <c r="G60" s="4" t="s">
        <v>2902</v>
      </c>
      <c r="L60" s="4" t="s">
        <v>382</v>
      </c>
      <c r="M60">
        <f t="shared" si="15"/>
        <v>2.9</v>
      </c>
      <c r="N60">
        <f t="shared" si="19"/>
        <v>1.7</v>
      </c>
      <c r="P60">
        <f t="shared" si="17"/>
        <v>0.2</v>
      </c>
      <c r="R60">
        <f t="shared" si="18"/>
        <v>0.3</v>
      </c>
      <c r="U60" s="33" t="str">
        <f t="shared" si="2"/>
        <v/>
      </c>
      <c r="X60" s="4">
        <v>100</v>
      </c>
      <c r="AB60" s="4">
        <v>400</v>
      </c>
      <c r="AF60" s="4">
        <f t="shared" ref="AF60:AF62" si="21">AG60*$BO$13</f>
        <v>0</v>
      </c>
      <c r="AL60" s="4">
        <f t="shared" si="12"/>
        <v>0</v>
      </c>
      <c r="AS60" s="4">
        <v>70</v>
      </c>
      <c r="BA60" s="4">
        <v>65.19</v>
      </c>
      <c r="BC60" s="4" t="s">
        <v>382</v>
      </c>
      <c r="BD60" s="4" t="s">
        <v>371</v>
      </c>
      <c r="BE60" s="4" t="s">
        <v>91</v>
      </c>
      <c r="BF60" s="4">
        <v>2.9</v>
      </c>
      <c r="BG60" s="4">
        <v>1.7</v>
      </c>
      <c r="BI60" s="4">
        <v>0.2</v>
      </c>
      <c r="BK60" s="4">
        <v>0.3</v>
      </c>
      <c r="BL60" s="4" t="s">
        <v>384</v>
      </c>
      <c r="BM60" s="4" t="s">
        <v>383</v>
      </c>
    </row>
    <row r="61" spans="4:65">
      <c r="D61" s="17" t="str">
        <f t="shared" si="14"/>
        <v>ErgänzungsfuttermittelKatzeVitamin-Spurenelement-Präparat</v>
      </c>
      <c r="E61" s="4" t="s">
        <v>91</v>
      </c>
      <c r="F61" s="19" t="s">
        <v>90</v>
      </c>
      <c r="G61" s="4" t="s">
        <v>2902</v>
      </c>
      <c r="L61" s="4" t="s">
        <v>2708</v>
      </c>
      <c r="M61">
        <f t="shared" si="15"/>
        <v>0</v>
      </c>
      <c r="N61">
        <f t="shared" si="19"/>
        <v>0</v>
      </c>
      <c r="P61">
        <f t="shared" si="17"/>
        <v>0</v>
      </c>
      <c r="R61">
        <f t="shared" si="18"/>
        <v>0</v>
      </c>
      <c r="U61" s="33" t="str">
        <f t="shared" si="2"/>
        <v/>
      </c>
      <c r="AB61" s="4">
        <v>210</v>
      </c>
      <c r="AE61" s="4">
        <v>500</v>
      </c>
      <c r="AF61" s="4">
        <f t="shared" si="21"/>
        <v>0</v>
      </c>
      <c r="AL61" s="4">
        <f t="shared" si="12"/>
        <v>0</v>
      </c>
      <c r="AW61" s="4">
        <v>200</v>
      </c>
      <c r="BA61" s="4">
        <v>562</v>
      </c>
      <c r="BB61" s="4">
        <v>0.5</v>
      </c>
      <c r="BC61" s="4" t="s">
        <v>2708</v>
      </c>
      <c r="BD61" s="4" t="s">
        <v>2701</v>
      </c>
      <c r="BE61" s="4" t="s">
        <v>91</v>
      </c>
      <c r="BL61" s="4" t="s">
        <v>2710</v>
      </c>
      <c r="BM61" s="4" t="s">
        <v>2709</v>
      </c>
    </row>
    <row r="62" spans="4:65">
      <c r="D62" s="17" t="str">
        <f t="shared" si="14"/>
        <v>ErgänzungsfuttermittelKatzeVitamin-Spurenelement-Präparat</v>
      </c>
      <c r="E62" s="4" t="s">
        <v>91</v>
      </c>
      <c r="F62" s="19" t="s">
        <v>90</v>
      </c>
      <c r="G62" s="4" t="s">
        <v>2902</v>
      </c>
      <c r="L62" s="4" t="s">
        <v>2711</v>
      </c>
      <c r="M62">
        <f t="shared" si="15"/>
        <v>35.1</v>
      </c>
      <c r="N62">
        <f t="shared" si="19"/>
        <v>18.8</v>
      </c>
      <c r="P62">
        <f t="shared" si="17"/>
        <v>8.6</v>
      </c>
      <c r="R62">
        <f t="shared" si="18"/>
        <v>8.6</v>
      </c>
      <c r="U62" s="33" t="str">
        <f t="shared" si="2"/>
        <v/>
      </c>
      <c r="Z62" s="4">
        <v>400</v>
      </c>
      <c r="AA62" s="4">
        <v>8.6999999999999993</v>
      </c>
      <c r="AB62" s="4">
        <v>250</v>
      </c>
      <c r="AC62" s="4">
        <v>10</v>
      </c>
      <c r="AF62" s="4">
        <f t="shared" si="21"/>
        <v>21900</v>
      </c>
      <c r="AG62" s="4">
        <v>73000</v>
      </c>
      <c r="AK62" s="4">
        <v>1400</v>
      </c>
      <c r="AL62" s="4">
        <f t="shared" si="12"/>
        <v>35</v>
      </c>
      <c r="AN62" s="4">
        <v>400</v>
      </c>
      <c r="AO62" s="4">
        <v>150</v>
      </c>
      <c r="AP62" s="4">
        <v>320</v>
      </c>
      <c r="AQ62" s="4">
        <v>140</v>
      </c>
      <c r="AR62" s="4">
        <v>1500</v>
      </c>
      <c r="AS62" s="4">
        <v>100000</v>
      </c>
      <c r="AT62" s="4">
        <v>100</v>
      </c>
      <c r="AU62" s="4">
        <v>730</v>
      </c>
      <c r="AV62" s="4">
        <v>20000</v>
      </c>
      <c r="BA62" s="4">
        <v>132.07</v>
      </c>
      <c r="BB62" s="4">
        <v>1.5</v>
      </c>
      <c r="BC62" s="4" t="s">
        <v>2712</v>
      </c>
      <c r="BD62" s="4" t="s">
        <v>2701</v>
      </c>
      <c r="BE62" s="4" t="s">
        <v>91</v>
      </c>
      <c r="BF62" s="4">
        <v>35.1</v>
      </c>
      <c r="BG62" s="4">
        <v>18.8</v>
      </c>
      <c r="BI62" s="4">
        <v>8.6</v>
      </c>
      <c r="BK62" s="4">
        <v>8.6</v>
      </c>
      <c r="BL62" s="4" t="s">
        <v>2714</v>
      </c>
      <c r="BM62" s="4" t="s">
        <v>2713</v>
      </c>
    </row>
    <row r="63" spans="4:65" s="27" customFormat="1">
      <c r="D63" s="34" t="str">
        <f t="shared" si="14"/>
        <v>ErgänzungsfuttermittelKatzeVitamin-Spurenelement-Präparat</v>
      </c>
      <c r="E63" s="27" t="s">
        <v>91</v>
      </c>
      <c r="F63" s="35" t="s">
        <v>90</v>
      </c>
      <c r="G63" s="27" t="s">
        <v>2902</v>
      </c>
      <c r="L63" s="27" t="s">
        <v>2722</v>
      </c>
      <c r="M63" s="28">
        <f t="shared" si="15"/>
        <v>11.5</v>
      </c>
      <c r="N63" s="28">
        <f t="shared" si="19"/>
        <v>41.2</v>
      </c>
      <c r="P63" s="28">
        <f t="shared" si="17"/>
        <v>11.5</v>
      </c>
      <c r="R63" s="28">
        <f t="shared" si="18"/>
        <v>3</v>
      </c>
      <c r="U63" s="36" t="str">
        <f t="shared" si="2"/>
        <v/>
      </c>
      <c r="AB63" s="27">
        <v>135</v>
      </c>
      <c r="AF63" s="27">
        <f t="shared" ref="AF63:AF76" si="22">AG63*$BO$13</f>
        <v>0</v>
      </c>
      <c r="AL63" s="27">
        <f t="shared" si="12"/>
        <v>0</v>
      </c>
      <c r="AR63" s="27">
        <v>500</v>
      </c>
      <c r="AV63" s="27">
        <v>2880</v>
      </c>
      <c r="AZ63" s="27">
        <v>500</v>
      </c>
      <c r="BA63" s="27">
        <v>218.47</v>
      </c>
      <c r="BB63" s="27">
        <v>2.1</v>
      </c>
      <c r="BC63" s="27" t="s">
        <v>2722</v>
      </c>
      <c r="BD63" s="27" t="s">
        <v>2701</v>
      </c>
      <c r="BE63" s="27" t="s">
        <v>91</v>
      </c>
      <c r="BF63" s="27">
        <v>11.5</v>
      </c>
      <c r="BG63" s="27">
        <v>41.2</v>
      </c>
      <c r="BI63" s="27">
        <v>11.5</v>
      </c>
      <c r="BK63" s="27">
        <v>3</v>
      </c>
      <c r="BL63" s="27" t="s">
        <v>2724</v>
      </c>
      <c r="BM63" s="27" t="s">
        <v>2723</v>
      </c>
    </row>
    <row r="64" spans="4:65">
      <c r="D64" s="17" t="str">
        <f t="shared" si="14"/>
        <v>ErgänzungsfuttermittelKatzeVitamin-Spurenelement-Präparat</v>
      </c>
      <c r="E64" s="4" t="s">
        <v>91</v>
      </c>
      <c r="F64" s="19" t="s">
        <v>90</v>
      </c>
      <c r="G64" s="4" t="s">
        <v>2902</v>
      </c>
      <c r="L64" s="4" t="s">
        <v>1256</v>
      </c>
      <c r="M64">
        <f t="shared" si="15"/>
        <v>0</v>
      </c>
      <c r="N64">
        <f t="shared" si="19"/>
        <v>0</v>
      </c>
      <c r="P64">
        <f t="shared" si="17"/>
        <v>0</v>
      </c>
      <c r="R64">
        <f t="shared" si="18"/>
        <v>0</v>
      </c>
      <c r="U64" s="33" t="str">
        <f t="shared" si="2"/>
        <v/>
      </c>
      <c r="AB64" s="4">
        <v>0.626</v>
      </c>
      <c r="AE64" s="4">
        <v>420</v>
      </c>
      <c r="AF64" s="4">
        <f t="shared" si="22"/>
        <v>10500</v>
      </c>
      <c r="AG64" s="4">
        <v>35000</v>
      </c>
      <c r="AK64" s="4">
        <v>6940</v>
      </c>
      <c r="AL64" s="4">
        <f t="shared" si="12"/>
        <v>173.5</v>
      </c>
      <c r="AN64" s="4">
        <v>3250</v>
      </c>
      <c r="AO64" s="4">
        <v>104</v>
      </c>
      <c r="AP64" s="4">
        <v>8.33</v>
      </c>
      <c r="AQ64" s="4">
        <v>104</v>
      </c>
      <c r="AR64" s="4">
        <v>1250</v>
      </c>
      <c r="AS64" s="4">
        <v>3340</v>
      </c>
      <c r="AT64" s="4">
        <v>0.34699999999999998</v>
      </c>
      <c r="AU64" s="4">
        <v>0.34</v>
      </c>
      <c r="AZ64" s="4">
        <v>3.34</v>
      </c>
      <c r="BA64" s="4">
        <v>276</v>
      </c>
      <c r="BC64" s="4" t="s">
        <v>1257</v>
      </c>
      <c r="BD64" s="4" t="s">
        <v>1258</v>
      </c>
      <c r="BE64" s="4" t="s">
        <v>91</v>
      </c>
      <c r="BL64" s="4" t="s">
        <v>1260</v>
      </c>
      <c r="BM64" s="4" t="s">
        <v>1259</v>
      </c>
    </row>
    <row r="65" spans="4:65">
      <c r="D65" s="17" t="str">
        <f t="shared" si="14"/>
        <v>ErgänzungsfuttermittelKatzeVitamin-Spurenelement-Präparat</v>
      </c>
      <c r="E65" s="4" t="s">
        <v>91</v>
      </c>
      <c r="F65" s="19" t="s">
        <v>90</v>
      </c>
      <c r="G65" s="4" t="s">
        <v>2902</v>
      </c>
      <c r="L65" s="4" t="s">
        <v>2607</v>
      </c>
      <c r="M65">
        <f t="shared" si="15"/>
        <v>15</v>
      </c>
      <c r="N65">
        <f t="shared" si="19"/>
        <v>15</v>
      </c>
      <c r="P65">
        <f t="shared" si="17"/>
        <v>5</v>
      </c>
      <c r="R65">
        <f t="shared" si="18"/>
        <v>0.5</v>
      </c>
      <c r="S65" s="4">
        <v>900</v>
      </c>
      <c r="T65" s="4">
        <v>600</v>
      </c>
      <c r="U65" s="33">
        <f t="shared" si="2"/>
        <v>1.5</v>
      </c>
      <c r="V65" s="4">
        <v>100</v>
      </c>
      <c r="W65" s="4">
        <v>8500</v>
      </c>
      <c r="AA65" s="4">
        <v>0.8</v>
      </c>
      <c r="AF65" s="4">
        <f t="shared" si="22"/>
        <v>135</v>
      </c>
      <c r="AG65" s="4">
        <v>450</v>
      </c>
      <c r="AK65" s="4">
        <v>45</v>
      </c>
      <c r="AL65" s="4">
        <f t="shared" si="12"/>
        <v>1.125</v>
      </c>
      <c r="AN65" s="4">
        <v>5</v>
      </c>
      <c r="AZ65" s="4">
        <v>50</v>
      </c>
      <c r="BA65" s="4">
        <v>411.8</v>
      </c>
      <c r="BB65" s="4">
        <v>2</v>
      </c>
      <c r="BC65" s="4" t="s">
        <v>2607</v>
      </c>
      <c r="BD65" s="4" t="s">
        <v>2451</v>
      </c>
      <c r="BE65" s="4" t="s">
        <v>91</v>
      </c>
      <c r="BF65" s="4">
        <v>15</v>
      </c>
      <c r="BG65" s="4">
        <v>15</v>
      </c>
      <c r="BI65" s="4">
        <v>5</v>
      </c>
      <c r="BK65" s="4">
        <v>0.5</v>
      </c>
      <c r="BL65" s="4" t="s">
        <v>2609</v>
      </c>
      <c r="BM65" s="4" t="s">
        <v>2608</v>
      </c>
    </row>
    <row r="66" spans="4:65">
      <c r="D66" s="17" t="str">
        <f t="shared" si="14"/>
        <v>ErgänzungsfuttermittelKatzeVitamin-Spurenelement-Präparat</v>
      </c>
      <c r="E66" s="4" t="s">
        <v>91</v>
      </c>
      <c r="F66" s="19" t="s">
        <v>90</v>
      </c>
      <c r="G66" s="4" t="s">
        <v>2902</v>
      </c>
      <c r="L66" s="4" t="s">
        <v>2610</v>
      </c>
      <c r="M66">
        <f t="shared" si="15"/>
        <v>16</v>
      </c>
      <c r="N66">
        <f t="shared" si="19"/>
        <v>72</v>
      </c>
      <c r="P66">
        <f t="shared" si="17"/>
        <v>3</v>
      </c>
      <c r="R66">
        <f t="shared" si="18"/>
        <v>0.3</v>
      </c>
      <c r="U66" s="33" t="str">
        <f t="shared" si="2"/>
        <v/>
      </c>
      <c r="AA66" s="4">
        <v>0.5</v>
      </c>
      <c r="AF66" s="4">
        <f t="shared" si="22"/>
        <v>91.8</v>
      </c>
      <c r="AG66" s="4">
        <v>306</v>
      </c>
      <c r="AK66" s="4">
        <v>30.5</v>
      </c>
      <c r="AL66" s="4">
        <f t="shared" si="12"/>
        <v>0.76250000000000007</v>
      </c>
      <c r="AN66" s="4">
        <v>3.4</v>
      </c>
      <c r="AZ66" s="4">
        <v>34</v>
      </c>
      <c r="BA66" s="4">
        <v>253.4</v>
      </c>
      <c r="BB66" s="4">
        <v>2</v>
      </c>
      <c r="BC66" s="4" t="s">
        <v>2610</v>
      </c>
      <c r="BD66" s="4" t="s">
        <v>2451</v>
      </c>
      <c r="BE66" s="4" t="s">
        <v>91</v>
      </c>
      <c r="BF66" s="4">
        <v>16</v>
      </c>
      <c r="BG66" s="4">
        <v>72</v>
      </c>
      <c r="BI66" s="4">
        <v>3</v>
      </c>
      <c r="BK66" s="4">
        <v>0.3</v>
      </c>
      <c r="BL66" s="4" t="s">
        <v>2612</v>
      </c>
      <c r="BM66" s="4" t="s">
        <v>2611</v>
      </c>
    </row>
    <row r="67" spans="4:65">
      <c r="D67" s="17" t="str">
        <f t="shared" si="14"/>
        <v>ErgänzungsfuttermittelKatzeVitamin-Spurenelement-Präparat</v>
      </c>
      <c r="E67" s="4" t="s">
        <v>91</v>
      </c>
      <c r="F67" s="19" t="s">
        <v>90</v>
      </c>
      <c r="G67" s="4" t="s">
        <v>2902</v>
      </c>
      <c r="L67" s="4" t="s">
        <v>2621</v>
      </c>
      <c r="M67">
        <f t="shared" si="15"/>
        <v>30</v>
      </c>
      <c r="N67">
        <f t="shared" si="19"/>
        <v>33</v>
      </c>
      <c r="P67">
        <f t="shared" si="17"/>
        <v>3</v>
      </c>
      <c r="R67">
        <f t="shared" si="18"/>
        <v>1</v>
      </c>
      <c r="S67" s="4">
        <v>6500</v>
      </c>
      <c r="T67" s="4">
        <v>5300</v>
      </c>
      <c r="U67" s="33">
        <f t="shared" si="2"/>
        <v>1.2264150943396226</v>
      </c>
      <c r="V67" s="4">
        <v>1800</v>
      </c>
      <c r="X67" s="4">
        <v>300</v>
      </c>
      <c r="Z67" s="4">
        <v>600</v>
      </c>
      <c r="AA67" s="4">
        <v>4.5</v>
      </c>
      <c r="AB67" s="4">
        <v>200</v>
      </c>
      <c r="AC67" s="4">
        <v>10</v>
      </c>
      <c r="AF67" s="4">
        <f t="shared" si="22"/>
        <v>21000</v>
      </c>
      <c r="AG67" s="4">
        <v>70000</v>
      </c>
      <c r="AK67" s="4">
        <v>1000</v>
      </c>
      <c r="AL67" s="4">
        <f t="shared" si="12"/>
        <v>25</v>
      </c>
      <c r="AN67" s="4">
        <v>230</v>
      </c>
      <c r="AO67" s="4">
        <v>50</v>
      </c>
      <c r="AP67" s="4">
        <v>50</v>
      </c>
      <c r="AQ67" s="4">
        <v>25</v>
      </c>
      <c r="AR67" s="4">
        <v>50</v>
      </c>
      <c r="AS67" s="4">
        <v>1200</v>
      </c>
      <c r="AT67" s="4">
        <v>250</v>
      </c>
      <c r="AV67" s="4">
        <v>3000</v>
      </c>
      <c r="BA67" s="4">
        <v>150</v>
      </c>
      <c r="BB67" s="4">
        <v>1.5</v>
      </c>
      <c r="BC67" s="4" t="s">
        <v>2621</v>
      </c>
      <c r="BD67" s="4" t="s">
        <v>2478</v>
      </c>
      <c r="BE67" s="4" t="s">
        <v>91</v>
      </c>
      <c r="BF67" s="4">
        <v>30</v>
      </c>
      <c r="BG67" s="4">
        <v>33</v>
      </c>
      <c r="BI67" s="4">
        <v>3</v>
      </c>
      <c r="BK67" s="4">
        <v>1</v>
      </c>
      <c r="BL67" s="4" t="s">
        <v>2623</v>
      </c>
      <c r="BM67" s="4" t="s">
        <v>2622</v>
      </c>
    </row>
    <row r="68" spans="4:65">
      <c r="D68" s="17" t="str">
        <f t="shared" ref="D68:D99" si="23">E68&amp;""&amp;F68&amp;""&amp;G68&amp;""&amp;H68</f>
        <v>ErgänzungsfuttermittelKatzeVitamin-Spurenelement-Präparat</v>
      </c>
      <c r="E68" s="4" t="s">
        <v>91</v>
      </c>
      <c r="F68" s="19" t="s">
        <v>90</v>
      </c>
      <c r="G68" s="4" t="s">
        <v>2902</v>
      </c>
      <c r="L68" s="4" t="s">
        <v>2420</v>
      </c>
      <c r="M68">
        <f t="shared" si="15"/>
        <v>2.2999999999999998</v>
      </c>
      <c r="N68">
        <f t="shared" si="19"/>
        <v>22.2</v>
      </c>
      <c r="P68">
        <f t="shared" si="17"/>
        <v>65.099999999999994</v>
      </c>
      <c r="R68">
        <f t="shared" si="18"/>
        <v>0</v>
      </c>
      <c r="U68" s="33" t="str">
        <f t="shared" si="2"/>
        <v/>
      </c>
      <c r="AB68" s="4">
        <v>102.5</v>
      </c>
      <c r="AF68" s="4">
        <f t="shared" si="22"/>
        <v>28713.030000000002</v>
      </c>
      <c r="AG68" s="4">
        <v>95710.1</v>
      </c>
      <c r="AL68" s="4">
        <f t="shared" si="12"/>
        <v>0</v>
      </c>
      <c r="AS68" s="4">
        <v>3418.2</v>
      </c>
      <c r="AU68" s="4">
        <v>683.6</v>
      </c>
      <c r="BC68" s="4" t="s">
        <v>2420</v>
      </c>
      <c r="BD68" s="4" t="s">
        <v>2397</v>
      </c>
      <c r="BE68" s="4" t="s">
        <v>91</v>
      </c>
      <c r="BF68" s="4">
        <v>2.2999999999999998</v>
      </c>
      <c r="BG68" s="4">
        <v>22.2</v>
      </c>
      <c r="BI68" s="4">
        <v>65.099999999999994</v>
      </c>
      <c r="BK68" s="4">
        <v>0</v>
      </c>
      <c r="BL68" s="4" t="s">
        <v>2422</v>
      </c>
      <c r="BM68" s="4" t="s">
        <v>2421</v>
      </c>
    </row>
    <row r="69" spans="4:65">
      <c r="D69" s="17" t="str">
        <f t="shared" si="23"/>
        <v>ErgänzungsfuttermittelKatzeVitamin-Spurenelement-Präparat</v>
      </c>
      <c r="E69" s="4" t="s">
        <v>91</v>
      </c>
      <c r="F69" s="19" t="s">
        <v>90</v>
      </c>
      <c r="G69" s="4" t="s">
        <v>2902</v>
      </c>
      <c r="L69" s="4" t="s">
        <v>2435</v>
      </c>
      <c r="M69">
        <f t="shared" si="15"/>
        <v>29.9</v>
      </c>
      <c r="N69">
        <f t="shared" si="19"/>
        <v>21.6</v>
      </c>
      <c r="P69">
        <f t="shared" si="17"/>
        <v>7.7</v>
      </c>
      <c r="R69">
        <f t="shared" si="18"/>
        <v>9.4</v>
      </c>
      <c r="S69" s="4">
        <v>6200</v>
      </c>
      <c r="T69" s="4">
        <v>5500</v>
      </c>
      <c r="U69" s="33">
        <f t="shared" ref="U69:U132" si="24">IF(S69="","",S69/T69)</f>
        <v>1.1272727272727272</v>
      </c>
      <c r="X69" s="4">
        <v>200</v>
      </c>
      <c r="AB69" s="4">
        <v>800</v>
      </c>
      <c r="AF69" s="4">
        <f t="shared" si="22"/>
        <v>0</v>
      </c>
      <c r="AL69" s="4">
        <f t="shared" si="12"/>
        <v>0</v>
      </c>
      <c r="AN69" s="4">
        <v>604.58000000000004</v>
      </c>
      <c r="AQ69" s="4">
        <v>62.9</v>
      </c>
      <c r="AS69" s="4">
        <v>5920</v>
      </c>
      <c r="AT69" s="4">
        <v>429.2</v>
      </c>
      <c r="AU69" s="4">
        <v>92.5</v>
      </c>
      <c r="BB69" s="4">
        <v>0.67500000000000004</v>
      </c>
      <c r="BC69" s="4" t="s">
        <v>2435</v>
      </c>
      <c r="BD69" s="4" t="s">
        <v>2436</v>
      </c>
      <c r="BE69" s="4" t="s">
        <v>91</v>
      </c>
      <c r="BF69" s="4">
        <v>29.9</v>
      </c>
      <c r="BG69" s="4">
        <v>21.6</v>
      </c>
      <c r="BI69" s="4">
        <v>7.7</v>
      </c>
      <c r="BK69" s="4">
        <v>9.4</v>
      </c>
      <c r="BL69" s="4" t="s">
        <v>2438</v>
      </c>
      <c r="BM69" s="4" t="s">
        <v>2437</v>
      </c>
    </row>
    <row r="70" spans="4:65">
      <c r="D70" s="17" t="str">
        <f t="shared" si="23"/>
        <v>ErgänzungsfuttermittelKatzeVitamin-Spurenelement-Präparat</v>
      </c>
      <c r="E70" s="4" t="s">
        <v>91</v>
      </c>
      <c r="F70" s="19" t="s">
        <v>90</v>
      </c>
      <c r="G70" s="4" t="s">
        <v>2902</v>
      </c>
      <c r="L70" s="4" t="s">
        <v>2439</v>
      </c>
      <c r="M70">
        <f t="shared" ref="M70:M101" si="25">BF70</f>
        <v>16.5</v>
      </c>
      <c r="N70">
        <f t="shared" si="19"/>
        <v>5.7</v>
      </c>
      <c r="P70">
        <f t="shared" si="17"/>
        <v>7.7</v>
      </c>
      <c r="R70">
        <f t="shared" si="18"/>
        <v>0</v>
      </c>
      <c r="U70" s="33" t="str">
        <f t="shared" si="24"/>
        <v/>
      </c>
      <c r="X70" s="4">
        <v>60</v>
      </c>
      <c r="AA70" s="4">
        <v>0.4</v>
      </c>
      <c r="AF70" s="4">
        <f t="shared" si="22"/>
        <v>0</v>
      </c>
      <c r="AL70" s="4">
        <f t="shared" si="12"/>
        <v>0</v>
      </c>
      <c r="AR70" s="4">
        <v>18620</v>
      </c>
      <c r="BC70" s="4" t="s">
        <v>2439</v>
      </c>
      <c r="BD70" s="4" t="s">
        <v>2397</v>
      </c>
      <c r="BE70" s="4" t="s">
        <v>91</v>
      </c>
      <c r="BF70" s="4">
        <v>16.5</v>
      </c>
      <c r="BG70" s="4">
        <v>5.7</v>
      </c>
      <c r="BI70" s="4">
        <v>7.7</v>
      </c>
      <c r="BK70" s="4">
        <v>0</v>
      </c>
      <c r="BL70" s="4" t="s">
        <v>2441</v>
      </c>
      <c r="BM70" s="4" t="s">
        <v>2440</v>
      </c>
    </row>
    <row r="71" spans="4:65">
      <c r="D71" s="17" t="str">
        <f t="shared" si="23"/>
        <v>ErgänzungsfuttermittelKatzeVitamin-Spurenelement-Präparat</v>
      </c>
      <c r="E71" s="4" t="s">
        <v>91</v>
      </c>
      <c r="F71" s="19" t="s">
        <v>90</v>
      </c>
      <c r="G71" s="4" t="s">
        <v>2902</v>
      </c>
      <c r="L71" s="4" t="s">
        <v>2442</v>
      </c>
      <c r="M71">
        <f t="shared" si="25"/>
        <v>31.1</v>
      </c>
      <c r="N71">
        <f t="shared" si="19"/>
        <v>20.3</v>
      </c>
      <c r="P71">
        <f t="shared" si="17"/>
        <v>3.8</v>
      </c>
      <c r="R71">
        <f t="shared" si="18"/>
        <v>4.9000000000000004</v>
      </c>
      <c r="U71" s="33" t="str">
        <f t="shared" si="24"/>
        <v/>
      </c>
      <c r="Z71" s="4">
        <v>100</v>
      </c>
      <c r="AA71" s="4">
        <v>13</v>
      </c>
      <c r="AB71" s="4">
        <v>160</v>
      </c>
      <c r="AC71" s="4">
        <v>160</v>
      </c>
      <c r="AD71" s="4">
        <v>1500</v>
      </c>
      <c r="AE71" s="4">
        <v>900</v>
      </c>
      <c r="AF71" s="4">
        <f t="shared" si="22"/>
        <v>3600</v>
      </c>
      <c r="AG71" s="4">
        <v>12000</v>
      </c>
      <c r="AK71" s="4">
        <v>1600</v>
      </c>
      <c r="AL71" s="4">
        <f t="shared" si="12"/>
        <v>40</v>
      </c>
      <c r="AN71" s="4">
        <v>70</v>
      </c>
      <c r="AP71" s="4">
        <v>1</v>
      </c>
      <c r="AQ71" s="4">
        <v>1</v>
      </c>
      <c r="AR71" s="4">
        <v>80</v>
      </c>
      <c r="AS71" s="4">
        <v>250</v>
      </c>
      <c r="AT71" s="4">
        <v>30</v>
      </c>
      <c r="AV71" s="4">
        <v>500</v>
      </c>
      <c r="BA71" s="4">
        <v>26.98</v>
      </c>
      <c r="BB71" s="4">
        <v>10</v>
      </c>
      <c r="BC71" s="4" t="s">
        <v>2443</v>
      </c>
      <c r="BD71" s="4" t="s">
        <v>2397</v>
      </c>
      <c r="BE71" s="4" t="s">
        <v>91</v>
      </c>
      <c r="BF71" s="4">
        <v>31.1</v>
      </c>
      <c r="BG71" s="4">
        <v>20.3</v>
      </c>
      <c r="BI71" s="4">
        <v>3.8</v>
      </c>
      <c r="BK71" s="4">
        <v>4.9000000000000004</v>
      </c>
      <c r="BL71" s="4" t="s">
        <v>2445</v>
      </c>
      <c r="BM71" s="4" t="s">
        <v>2444</v>
      </c>
    </row>
    <row r="72" spans="4:65">
      <c r="D72" s="17" t="str">
        <f t="shared" si="23"/>
        <v>ErgänzungsfuttermittelKatzeVitamin-Spurenelement-Präparat</v>
      </c>
      <c r="E72" s="4" t="s">
        <v>91</v>
      </c>
      <c r="F72" s="19" t="s">
        <v>90</v>
      </c>
      <c r="G72" s="4" t="s">
        <v>2902</v>
      </c>
      <c r="L72" s="4" t="s">
        <v>2581</v>
      </c>
      <c r="M72">
        <f t="shared" si="25"/>
        <v>6.3</v>
      </c>
      <c r="N72">
        <f t="shared" si="19"/>
        <v>30</v>
      </c>
      <c r="P72">
        <f t="shared" ref="P72:P91" si="26">BI72</f>
        <v>4.5999999999999996</v>
      </c>
      <c r="R72">
        <f t="shared" ref="R72:R103" si="27">BK72</f>
        <v>0.1</v>
      </c>
      <c r="U72" s="33" t="str">
        <f t="shared" si="24"/>
        <v/>
      </c>
      <c r="X72" s="4">
        <v>1200</v>
      </c>
      <c r="AB72" s="4">
        <v>2110</v>
      </c>
      <c r="AF72" s="4">
        <f t="shared" si="22"/>
        <v>0</v>
      </c>
      <c r="AL72" s="4">
        <f t="shared" si="12"/>
        <v>0</v>
      </c>
      <c r="AW72" s="4">
        <v>3030</v>
      </c>
      <c r="BA72" s="4">
        <v>359.84</v>
      </c>
      <c r="BB72" s="4">
        <v>1.4</v>
      </c>
      <c r="BC72" s="4" t="s">
        <v>2581</v>
      </c>
      <c r="BD72" s="4" t="s">
        <v>2582</v>
      </c>
      <c r="BE72" s="4" t="s">
        <v>91</v>
      </c>
      <c r="BF72" s="4">
        <v>6.3</v>
      </c>
      <c r="BG72" s="4">
        <v>30</v>
      </c>
      <c r="BI72" s="4">
        <v>4.5999999999999996</v>
      </c>
      <c r="BK72" s="4">
        <v>0.1</v>
      </c>
      <c r="BL72" s="4" t="s">
        <v>2584</v>
      </c>
      <c r="BM72" s="4" t="s">
        <v>2583</v>
      </c>
    </row>
    <row r="73" spans="4:65">
      <c r="D73" s="17" t="str">
        <f t="shared" si="23"/>
        <v>ErgänzungsfuttermittelKatzeVitamin-Spurenelement-Präparat</v>
      </c>
      <c r="E73" s="4" t="s">
        <v>91</v>
      </c>
      <c r="F73" s="19" t="s">
        <v>90</v>
      </c>
      <c r="G73" s="4" t="s">
        <v>2902</v>
      </c>
      <c r="L73" s="4" t="s">
        <v>2449</v>
      </c>
      <c r="M73">
        <f t="shared" si="25"/>
        <v>0.3</v>
      </c>
      <c r="N73">
        <f t="shared" ref="N73:N104" si="28">BG73</f>
        <v>0.51</v>
      </c>
      <c r="P73">
        <f t="shared" si="26"/>
        <v>27.5</v>
      </c>
      <c r="R73">
        <f t="shared" si="27"/>
        <v>5.2</v>
      </c>
      <c r="U73" s="33" t="str">
        <f t="shared" si="24"/>
        <v/>
      </c>
      <c r="Z73" s="4">
        <v>9.8000000000000007</v>
      </c>
      <c r="AC73" s="4">
        <v>17</v>
      </c>
      <c r="AD73" s="4">
        <v>9800</v>
      </c>
      <c r="AF73" s="4">
        <f t="shared" si="22"/>
        <v>3900</v>
      </c>
      <c r="AG73" s="4">
        <v>13000</v>
      </c>
      <c r="AK73" s="4">
        <v>1050</v>
      </c>
      <c r="AL73" s="4">
        <f t="shared" ref="AL73:AL136" si="29">AK73*$BO$14</f>
        <v>26.25</v>
      </c>
      <c r="AN73" s="4">
        <v>90</v>
      </c>
      <c r="AO73" s="4">
        <v>28</v>
      </c>
      <c r="AP73" s="4">
        <v>0.4</v>
      </c>
      <c r="AQ73" s="4">
        <v>14</v>
      </c>
      <c r="AR73" s="4">
        <v>33</v>
      </c>
      <c r="BA73" s="4">
        <v>134.4</v>
      </c>
      <c r="BB73" s="4">
        <v>6</v>
      </c>
      <c r="BC73" s="4" t="s">
        <v>2450</v>
      </c>
      <c r="BD73" s="4" t="s">
        <v>2451</v>
      </c>
      <c r="BE73" s="4" t="s">
        <v>91</v>
      </c>
      <c r="BF73" s="4">
        <v>0.3</v>
      </c>
      <c r="BG73" s="4">
        <v>0.51</v>
      </c>
      <c r="BI73" s="4">
        <v>27.5</v>
      </c>
      <c r="BK73" s="4">
        <v>5.2</v>
      </c>
      <c r="BL73" s="4" t="s">
        <v>2453</v>
      </c>
      <c r="BM73" s="4" t="s">
        <v>2452</v>
      </c>
    </row>
    <row r="74" spans="4:65">
      <c r="D74" s="17" t="str">
        <f t="shared" si="23"/>
        <v>ErgänzungsfuttermittelKatzeVitamin-Spurenelement-Präparat</v>
      </c>
      <c r="E74" s="4" t="s">
        <v>91</v>
      </c>
      <c r="F74" s="19" t="s">
        <v>90</v>
      </c>
      <c r="G74" s="4" t="s">
        <v>2902</v>
      </c>
      <c r="L74" s="4" t="s">
        <v>2477</v>
      </c>
      <c r="M74">
        <f t="shared" si="25"/>
        <v>12</v>
      </c>
      <c r="N74">
        <f t="shared" si="28"/>
        <v>15</v>
      </c>
      <c r="P74">
        <f t="shared" si="26"/>
        <v>56</v>
      </c>
      <c r="R74">
        <f t="shared" si="27"/>
        <v>1</v>
      </c>
      <c r="S74" s="4">
        <v>2400</v>
      </c>
      <c r="T74" s="4">
        <v>2000</v>
      </c>
      <c r="U74" s="33">
        <f t="shared" si="24"/>
        <v>1.2</v>
      </c>
      <c r="V74" s="4">
        <v>700</v>
      </c>
      <c r="X74" s="4">
        <v>800</v>
      </c>
      <c r="Z74" s="4">
        <v>240</v>
      </c>
      <c r="AA74" s="4">
        <v>1.8</v>
      </c>
      <c r="AB74" s="4">
        <v>85</v>
      </c>
      <c r="AC74" s="4">
        <v>3.8</v>
      </c>
      <c r="AF74" s="4">
        <f t="shared" si="22"/>
        <v>8400</v>
      </c>
      <c r="AG74" s="4">
        <v>28000</v>
      </c>
      <c r="AK74" s="4">
        <v>400</v>
      </c>
      <c r="AL74" s="4">
        <f t="shared" si="29"/>
        <v>10</v>
      </c>
      <c r="AN74" s="4">
        <v>100</v>
      </c>
      <c r="AO74" s="4">
        <v>20</v>
      </c>
      <c r="AP74" s="4">
        <v>20</v>
      </c>
      <c r="AQ74" s="4">
        <v>10</v>
      </c>
      <c r="AR74" s="4">
        <v>20</v>
      </c>
      <c r="AS74" s="4">
        <v>480</v>
      </c>
      <c r="AT74" s="4">
        <v>110</v>
      </c>
      <c r="AU74" s="4">
        <v>75</v>
      </c>
      <c r="AV74" s="4">
        <v>1000</v>
      </c>
      <c r="AZ74" s="4">
        <v>1000</v>
      </c>
      <c r="BA74" s="4">
        <v>295.8</v>
      </c>
      <c r="BC74" s="4" t="s">
        <v>2477</v>
      </c>
      <c r="BD74" s="4" t="s">
        <v>2478</v>
      </c>
      <c r="BE74" s="4" t="s">
        <v>91</v>
      </c>
      <c r="BF74" s="4">
        <v>12</v>
      </c>
      <c r="BG74" s="4">
        <v>15</v>
      </c>
      <c r="BI74" s="4">
        <v>56</v>
      </c>
      <c r="BK74" s="4">
        <v>1</v>
      </c>
      <c r="BL74" s="4" t="s">
        <v>2480</v>
      </c>
      <c r="BM74" s="4" t="s">
        <v>2479</v>
      </c>
    </row>
    <row r="75" spans="4:65">
      <c r="D75" s="17" t="str">
        <f t="shared" si="23"/>
        <v>ErgänzungsfuttermittelKatzeVitamin-Spurenelement-Präparat</v>
      </c>
      <c r="E75" s="4" t="s">
        <v>91</v>
      </c>
      <c r="F75" s="19" t="s">
        <v>90</v>
      </c>
      <c r="G75" s="4" t="s">
        <v>2902</v>
      </c>
      <c r="L75" s="4" t="s">
        <v>2497</v>
      </c>
      <c r="M75">
        <f t="shared" si="25"/>
        <v>2.1</v>
      </c>
      <c r="N75">
        <f t="shared" si="28"/>
        <v>6.34</v>
      </c>
      <c r="P75">
        <f t="shared" si="26"/>
        <v>35.799999999999997</v>
      </c>
      <c r="R75">
        <f t="shared" si="27"/>
        <v>4.0999999999999996</v>
      </c>
      <c r="S75" s="4">
        <v>3</v>
      </c>
      <c r="T75" s="4">
        <v>1</v>
      </c>
      <c r="U75" s="33">
        <f t="shared" si="24"/>
        <v>3</v>
      </c>
      <c r="V75" s="4">
        <v>9</v>
      </c>
      <c r="W75" s="4">
        <v>3.5</v>
      </c>
      <c r="Z75" s="4">
        <v>11</v>
      </c>
      <c r="AB75" s="4">
        <v>1</v>
      </c>
      <c r="AC75" s="4">
        <v>18</v>
      </c>
      <c r="AF75" s="4">
        <f t="shared" si="22"/>
        <v>6450</v>
      </c>
      <c r="AG75" s="4">
        <v>21500</v>
      </c>
      <c r="AK75" s="4">
        <v>961.5</v>
      </c>
      <c r="AL75" s="4">
        <f t="shared" si="29"/>
        <v>24.037500000000001</v>
      </c>
      <c r="AN75" s="4">
        <v>110</v>
      </c>
      <c r="AO75" s="4">
        <v>45</v>
      </c>
      <c r="AP75" s="4">
        <v>3.5</v>
      </c>
      <c r="AQ75" s="4">
        <v>40</v>
      </c>
      <c r="AR75" s="4">
        <v>85</v>
      </c>
      <c r="AS75" s="4">
        <v>5000</v>
      </c>
      <c r="AT75" s="4">
        <v>86.5</v>
      </c>
      <c r="AU75" s="4">
        <v>42.5</v>
      </c>
      <c r="AV75" s="4">
        <v>4800</v>
      </c>
      <c r="AZ75" s="4">
        <v>600</v>
      </c>
      <c r="BA75" s="4">
        <v>166.67</v>
      </c>
      <c r="BB75" s="4">
        <v>5</v>
      </c>
      <c r="BC75" s="4" t="s">
        <v>2497</v>
      </c>
      <c r="BD75" s="4" t="s">
        <v>1767</v>
      </c>
      <c r="BE75" s="4" t="s">
        <v>91</v>
      </c>
      <c r="BF75" s="4">
        <v>2.1</v>
      </c>
      <c r="BG75" s="4">
        <v>6.34</v>
      </c>
      <c r="BI75" s="4">
        <v>35.799999999999997</v>
      </c>
      <c r="BK75" s="4">
        <v>4.0999999999999996</v>
      </c>
      <c r="BL75" s="4" t="s">
        <v>2499</v>
      </c>
      <c r="BM75" s="4" t="s">
        <v>2498</v>
      </c>
    </row>
    <row r="76" spans="4:65">
      <c r="D76" s="17" t="str">
        <f t="shared" si="23"/>
        <v>ErgänzungsfuttermittelKatzeVitamin-Spurenelement-Präparat</v>
      </c>
      <c r="E76" s="4" t="s">
        <v>91</v>
      </c>
      <c r="F76" s="19" t="s">
        <v>90</v>
      </c>
      <c r="G76" s="4" t="s">
        <v>2902</v>
      </c>
      <c r="L76" s="4" t="s">
        <v>1293</v>
      </c>
      <c r="M76">
        <f t="shared" si="25"/>
        <v>17.2</v>
      </c>
      <c r="N76">
        <f t="shared" si="28"/>
        <v>25.9</v>
      </c>
      <c r="P76">
        <f t="shared" si="26"/>
        <v>7.1</v>
      </c>
      <c r="R76">
        <f t="shared" si="27"/>
        <v>7.4</v>
      </c>
      <c r="U76" s="33" t="str">
        <f t="shared" si="24"/>
        <v/>
      </c>
      <c r="AB76" s="4">
        <v>440</v>
      </c>
      <c r="AC76" s="4">
        <v>100</v>
      </c>
      <c r="AE76" s="4">
        <v>1700</v>
      </c>
      <c r="AF76" s="4">
        <f t="shared" si="22"/>
        <v>0</v>
      </c>
      <c r="AL76" s="4">
        <f t="shared" si="29"/>
        <v>0</v>
      </c>
      <c r="AN76" s="4">
        <v>3300</v>
      </c>
      <c r="BA76" s="4">
        <v>52.79</v>
      </c>
      <c r="BB76" s="4">
        <v>0.2</v>
      </c>
      <c r="BC76" s="4" t="s">
        <v>1294</v>
      </c>
      <c r="BD76" s="4" t="s">
        <v>1285</v>
      </c>
      <c r="BE76" s="4" t="s">
        <v>91</v>
      </c>
      <c r="BF76" s="4">
        <v>17.2</v>
      </c>
      <c r="BG76" s="4">
        <v>25.9</v>
      </c>
      <c r="BI76" s="4">
        <v>7.1</v>
      </c>
      <c r="BK76" s="4">
        <v>7.4</v>
      </c>
      <c r="BL76" s="4" t="s">
        <v>1296</v>
      </c>
      <c r="BM76" s="4" t="s">
        <v>1295</v>
      </c>
    </row>
    <row r="77" spans="4:65">
      <c r="D77" s="17" t="str">
        <f t="shared" si="23"/>
        <v>ErgänzungsfuttermittelKatzeVitamin-Spurenelement-Präparat</v>
      </c>
      <c r="E77" s="4" t="s">
        <v>91</v>
      </c>
      <c r="F77" s="19" t="s">
        <v>90</v>
      </c>
      <c r="G77" s="4" t="s">
        <v>2902</v>
      </c>
      <c r="L77" s="4" t="s">
        <v>1265</v>
      </c>
      <c r="M77">
        <f t="shared" si="25"/>
        <v>6.4</v>
      </c>
      <c r="N77">
        <f t="shared" si="28"/>
        <v>3.57</v>
      </c>
      <c r="P77">
        <f t="shared" si="26"/>
        <v>84.01</v>
      </c>
      <c r="R77">
        <f t="shared" si="27"/>
        <v>0.7</v>
      </c>
      <c r="U77" s="33" t="str">
        <f t="shared" si="24"/>
        <v/>
      </c>
      <c r="Z77" s="4">
        <v>323</v>
      </c>
      <c r="AA77" s="4">
        <v>22</v>
      </c>
      <c r="AB77" s="4">
        <v>1078</v>
      </c>
      <c r="AC77" s="4">
        <v>86</v>
      </c>
      <c r="AF77" s="4">
        <v>800</v>
      </c>
      <c r="AG77" s="4">
        <v>2664</v>
      </c>
      <c r="AK77" s="4">
        <v>2400</v>
      </c>
      <c r="AL77" s="4">
        <f t="shared" si="29"/>
        <v>60</v>
      </c>
      <c r="AN77" s="4">
        <v>862</v>
      </c>
      <c r="AO77" s="4">
        <v>216</v>
      </c>
      <c r="AP77" s="4">
        <v>216</v>
      </c>
      <c r="AQ77" s="4">
        <v>216</v>
      </c>
      <c r="AS77" s="4">
        <v>4000</v>
      </c>
      <c r="AT77" s="4">
        <v>1078</v>
      </c>
      <c r="AV77" s="4">
        <v>22000</v>
      </c>
      <c r="BA77" s="4">
        <v>99.9</v>
      </c>
      <c r="BC77" s="4" t="s">
        <v>1265</v>
      </c>
      <c r="BD77" s="4" t="s">
        <v>1266</v>
      </c>
      <c r="BE77" s="4" t="s">
        <v>91</v>
      </c>
      <c r="BF77" s="4">
        <v>6.4</v>
      </c>
      <c r="BG77" s="4">
        <v>3.57</v>
      </c>
      <c r="BI77" s="4">
        <v>84.01</v>
      </c>
      <c r="BK77" s="4">
        <v>0.7</v>
      </c>
      <c r="BL77" s="4" t="s">
        <v>1268</v>
      </c>
      <c r="BM77" s="4" t="s">
        <v>1267</v>
      </c>
    </row>
    <row r="78" spans="4:65">
      <c r="D78" s="17" t="str">
        <f t="shared" si="23"/>
        <v>ErgänzungsfuttermittelKatzeVitamin-Spurenelement-Präparat</v>
      </c>
      <c r="E78" s="4" t="s">
        <v>91</v>
      </c>
      <c r="F78" s="19" t="s">
        <v>90</v>
      </c>
      <c r="G78" s="4" t="s">
        <v>2902</v>
      </c>
      <c r="L78" s="4" t="s">
        <v>118</v>
      </c>
      <c r="M78">
        <f t="shared" si="25"/>
        <v>1.9</v>
      </c>
      <c r="N78">
        <f t="shared" si="28"/>
        <v>0.4</v>
      </c>
      <c r="P78">
        <f t="shared" si="26"/>
        <v>0.2</v>
      </c>
      <c r="Q78"/>
      <c r="R78">
        <f t="shared" si="27"/>
        <v>28.9</v>
      </c>
      <c r="U78" s="33" t="str">
        <f t="shared" si="24"/>
        <v/>
      </c>
      <c r="AA78" s="4">
        <v>62.5</v>
      </c>
      <c r="AB78" s="4">
        <v>625</v>
      </c>
      <c r="AF78" s="4">
        <f t="shared" ref="AF78:AF83" si="30">AG78*$BO$13</f>
        <v>0</v>
      </c>
      <c r="AL78" s="4">
        <f t="shared" si="29"/>
        <v>0</v>
      </c>
      <c r="AO78" s="4">
        <v>12.5</v>
      </c>
      <c r="AP78" s="4">
        <v>31</v>
      </c>
      <c r="AQ78" s="4">
        <v>12.5</v>
      </c>
      <c r="AS78" s="4">
        <v>100000</v>
      </c>
      <c r="AT78" s="4">
        <v>125</v>
      </c>
      <c r="AU78" s="4">
        <v>125</v>
      </c>
      <c r="BA78" s="21">
        <v>144.56</v>
      </c>
      <c r="BC78" s="4" t="s">
        <v>118</v>
      </c>
      <c r="BD78" s="4" t="s">
        <v>105</v>
      </c>
      <c r="BE78" s="4" t="s">
        <v>91</v>
      </c>
      <c r="BF78" s="4">
        <v>1.9</v>
      </c>
      <c r="BG78" s="4">
        <v>0.4</v>
      </c>
      <c r="BI78" s="4">
        <v>0.2</v>
      </c>
      <c r="BK78" s="4">
        <v>28.9</v>
      </c>
      <c r="BL78" s="4" t="s">
        <v>119</v>
      </c>
      <c r="BM78" s="4" t="s">
        <v>120</v>
      </c>
    </row>
    <row r="79" spans="4:65">
      <c r="D79" s="17" t="str">
        <f t="shared" si="23"/>
        <v>ErgänzungsfuttermittelKatzeVitamin-Spurenelement-Präparat</v>
      </c>
      <c r="E79" s="4" t="s">
        <v>91</v>
      </c>
      <c r="F79" s="19" t="s">
        <v>90</v>
      </c>
      <c r="G79" s="4" t="s">
        <v>2902</v>
      </c>
      <c r="L79" s="4" t="s">
        <v>1275</v>
      </c>
      <c r="M79">
        <f t="shared" si="25"/>
        <v>2</v>
      </c>
      <c r="N79">
        <f t="shared" si="28"/>
        <v>5</v>
      </c>
      <c r="P79">
        <f t="shared" si="26"/>
        <v>2.9</v>
      </c>
      <c r="R79">
        <f t="shared" si="27"/>
        <v>62.2</v>
      </c>
      <c r="U79" s="33" t="str">
        <f t="shared" si="24"/>
        <v/>
      </c>
      <c r="Z79" s="4">
        <v>200</v>
      </c>
      <c r="AA79" s="4">
        <v>10</v>
      </c>
      <c r="AB79" s="4">
        <v>103</v>
      </c>
      <c r="AC79" s="4">
        <v>6</v>
      </c>
      <c r="AE79" s="4">
        <v>200</v>
      </c>
      <c r="AF79" s="4">
        <f t="shared" si="30"/>
        <v>12000</v>
      </c>
      <c r="AG79" s="4">
        <v>40000</v>
      </c>
      <c r="AK79" s="4">
        <v>2000</v>
      </c>
      <c r="AL79" s="4">
        <f t="shared" si="29"/>
        <v>50</v>
      </c>
      <c r="AN79" s="4">
        <v>100</v>
      </c>
      <c r="AO79" s="4">
        <v>50</v>
      </c>
      <c r="AP79" s="4">
        <v>50</v>
      </c>
      <c r="AQ79" s="4">
        <v>30</v>
      </c>
      <c r="AR79" s="4">
        <v>200</v>
      </c>
      <c r="AS79" s="4">
        <v>2000</v>
      </c>
      <c r="AT79" s="4">
        <v>500</v>
      </c>
      <c r="AV79" s="4">
        <v>5000</v>
      </c>
      <c r="AW79" s="4">
        <v>200</v>
      </c>
      <c r="AZ79" s="4">
        <v>3000</v>
      </c>
      <c r="BA79" s="4">
        <v>221.11</v>
      </c>
      <c r="BB79" s="4">
        <v>1</v>
      </c>
      <c r="BC79" s="4" t="s">
        <v>1275</v>
      </c>
      <c r="BD79" s="4" t="s">
        <v>1276</v>
      </c>
      <c r="BE79" s="4" t="s">
        <v>91</v>
      </c>
      <c r="BF79" s="4">
        <v>2</v>
      </c>
      <c r="BG79" s="4">
        <v>5</v>
      </c>
      <c r="BI79" s="4">
        <v>2.9</v>
      </c>
      <c r="BK79" s="4">
        <v>62.2</v>
      </c>
      <c r="BL79" s="4" t="s">
        <v>1278</v>
      </c>
      <c r="BM79" s="4" t="s">
        <v>1277</v>
      </c>
    </row>
    <row r="80" spans="4:65">
      <c r="D80" s="17" t="str">
        <f t="shared" si="23"/>
        <v>ErgänzungsfuttermittelKatzeVitamin-Spurenelement-Präparat</v>
      </c>
      <c r="E80" s="4" t="s">
        <v>91</v>
      </c>
      <c r="F80" s="19" t="s">
        <v>90</v>
      </c>
      <c r="G80" s="4" t="s">
        <v>2902</v>
      </c>
      <c r="L80" s="4" t="s">
        <v>1279</v>
      </c>
      <c r="M80">
        <f t="shared" si="25"/>
        <v>6.9</v>
      </c>
      <c r="N80">
        <f t="shared" si="28"/>
        <v>42.6</v>
      </c>
      <c r="P80">
        <f t="shared" si="26"/>
        <v>6.6</v>
      </c>
      <c r="Q80"/>
      <c r="R80">
        <f t="shared" si="27"/>
        <v>0.4</v>
      </c>
      <c r="U80" s="33" t="str">
        <f t="shared" si="24"/>
        <v/>
      </c>
      <c r="W80" s="4">
        <v>2</v>
      </c>
      <c r="AB80" s="4">
        <v>300</v>
      </c>
      <c r="AE80" s="4">
        <v>200</v>
      </c>
      <c r="AF80" s="4">
        <f t="shared" si="30"/>
        <v>0</v>
      </c>
      <c r="AL80" s="4">
        <f t="shared" si="29"/>
        <v>0</v>
      </c>
      <c r="AO80" s="4">
        <v>50</v>
      </c>
      <c r="AP80" s="4">
        <v>50</v>
      </c>
      <c r="AQ80" s="4">
        <v>30</v>
      </c>
      <c r="AR80" s="4">
        <v>200</v>
      </c>
      <c r="AS80" s="4">
        <v>2000</v>
      </c>
      <c r="AT80" s="4">
        <v>500</v>
      </c>
      <c r="AW80" s="4">
        <v>500</v>
      </c>
      <c r="BA80" s="4">
        <v>210</v>
      </c>
      <c r="BB80" s="4">
        <v>1</v>
      </c>
      <c r="BC80" s="4" t="s">
        <v>1279</v>
      </c>
      <c r="BD80" s="4" t="s">
        <v>1276</v>
      </c>
      <c r="BE80" s="4" t="s">
        <v>91</v>
      </c>
      <c r="BF80" s="4">
        <v>6.9</v>
      </c>
      <c r="BG80" s="4">
        <v>42.6</v>
      </c>
      <c r="BI80" s="4">
        <v>6.6</v>
      </c>
      <c r="BK80" s="4">
        <v>0.4</v>
      </c>
      <c r="BL80" s="4" t="s">
        <v>1281</v>
      </c>
      <c r="BM80" s="4" t="s">
        <v>1280</v>
      </c>
    </row>
    <row r="81" spans="4:65">
      <c r="D81" s="17" t="str">
        <f t="shared" si="23"/>
        <v>ErgänzungsfuttermittelKatzeVitamin-Spurenelement-Präparat</v>
      </c>
      <c r="E81" s="4" t="s">
        <v>91</v>
      </c>
      <c r="F81" s="19" t="s">
        <v>90</v>
      </c>
      <c r="G81" s="4" t="s">
        <v>2902</v>
      </c>
      <c r="L81" s="4" t="s">
        <v>1360</v>
      </c>
      <c r="M81">
        <f t="shared" si="25"/>
        <v>10.7</v>
      </c>
      <c r="N81">
        <f t="shared" si="28"/>
        <v>25.6</v>
      </c>
      <c r="P81">
        <f t="shared" si="26"/>
        <v>51.1</v>
      </c>
      <c r="R81">
        <f t="shared" si="27"/>
        <v>0.1</v>
      </c>
      <c r="U81" s="33" t="str">
        <f t="shared" si="24"/>
        <v/>
      </c>
      <c r="AB81" s="4">
        <v>300</v>
      </c>
      <c r="AF81" s="4">
        <f t="shared" si="30"/>
        <v>180000</v>
      </c>
      <c r="AG81" s="4">
        <v>600000</v>
      </c>
      <c r="AL81" s="4">
        <f t="shared" si="29"/>
        <v>0</v>
      </c>
      <c r="AN81" s="4">
        <v>1200</v>
      </c>
      <c r="AW81" s="4">
        <v>1200</v>
      </c>
      <c r="BA81" s="4">
        <v>999.3</v>
      </c>
      <c r="BB81" s="4">
        <v>3</v>
      </c>
      <c r="BC81" s="4" t="s">
        <v>1360</v>
      </c>
      <c r="BD81" s="4" t="s">
        <v>1285</v>
      </c>
      <c r="BE81" s="4" t="s">
        <v>91</v>
      </c>
      <c r="BF81" s="4">
        <v>10.7</v>
      </c>
      <c r="BG81" s="4">
        <v>25.6</v>
      </c>
      <c r="BI81" s="4">
        <v>51.1</v>
      </c>
      <c r="BK81" s="4">
        <v>0.1</v>
      </c>
      <c r="BL81" s="4" t="s">
        <v>1361</v>
      </c>
      <c r="BM81" s="4" t="s">
        <v>1359</v>
      </c>
    </row>
    <row r="82" spans="4:65">
      <c r="D82" s="17" t="str">
        <f t="shared" si="23"/>
        <v>ErgänzungsfuttermittelKatzeVitamin-Spurenelement-Präparat</v>
      </c>
      <c r="E82" s="4" t="s">
        <v>91</v>
      </c>
      <c r="F82" s="19" t="s">
        <v>90</v>
      </c>
      <c r="G82" s="4" t="s">
        <v>2902</v>
      </c>
      <c r="L82" s="4" t="s">
        <v>1362</v>
      </c>
      <c r="M82">
        <f t="shared" si="25"/>
        <v>9.8000000000000007</v>
      </c>
      <c r="N82">
        <f t="shared" si="28"/>
        <v>7.9</v>
      </c>
      <c r="P82">
        <f t="shared" si="26"/>
        <v>60.3</v>
      </c>
      <c r="R82">
        <f t="shared" si="27"/>
        <v>2.7</v>
      </c>
      <c r="U82" s="33" t="str">
        <f t="shared" si="24"/>
        <v/>
      </c>
      <c r="AB82" s="4">
        <v>250</v>
      </c>
      <c r="AF82" s="4">
        <f t="shared" si="30"/>
        <v>180000</v>
      </c>
      <c r="AG82" s="4">
        <v>600000</v>
      </c>
      <c r="AL82" s="4">
        <f t="shared" si="29"/>
        <v>0</v>
      </c>
      <c r="AN82" s="4">
        <v>1300</v>
      </c>
      <c r="AW82" s="4">
        <v>500</v>
      </c>
      <c r="BB82" s="4">
        <v>3</v>
      </c>
      <c r="BC82" s="4" t="s">
        <v>1362</v>
      </c>
      <c r="BD82" s="4" t="s">
        <v>1285</v>
      </c>
      <c r="BE82" s="4" t="s">
        <v>91</v>
      </c>
      <c r="BF82" s="4">
        <v>9.8000000000000007</v>
      </c>
      <c r="BG82" s="4">
        <v>7.9</v>
      </c>
      <c r="BI82" s="4">
        <v>60.3</v>
      </c>
      <c r="BK82" s="4">
        <v>2.7</v>
      </c>
      <c r="BL82" s="4" t="s">
        <v>1364</v>
      </c>
      <c r="BM82" s="4" t="s">
        <v>1363</v>
      </c>
    </row>
    <row r="83" spans="4:65">
      <c r="D83" s="17" t="str">
        <f t="shared" si="23"/>
        <v>ErgänzungsfuttermittelKatzeVitamin-Spurenelement-Präparat</v>
      </c>
      <c r="E83" s="4" t="s">
        <v>91</v>
      </c>
      <c r="F83" s="19" t="s">
        <v>90</v>
      </c>
      <c r="G83" s="4" t="s">
        <v>2902</v>
      </c>
      <c r="L83" s="4" t="s">
        <v>1365</v>
      </c>
      <c r="M83">
        <f t="shared" si="25"/>
        <v>11</v>
      </c>
      <c r="N83">
        <f t="shared" si="28"/>
        <v>62.9</v>
      </c>
      <c r="P83">
        <f t="shared" si="26"/>
        <v>7.2</v>
      </c>
      <c r="R83">
        <f t="shared" si="27"/>
        <v>0.1</v>
      </c>
      <c r="U83" s="33" t="str">
        <f t="shared" si="24"/>
        <v/>
      </c>
      <c r="AB83" s="4">
        <v>360</v>
      </c>
      <c r="AF83" s="4">
        <f t="shared" si="30"/>
        <v>225000</v>
      </c>
      <c r="AG83" s="4">
        <v>750000</v>
      </c>
      <c r="AL83" s="4">
        <f t="shared" si="29"/>
        <v>0</v>
      </c>
      <c r="AN83" s="4">
        <v>1250</v>
      </c>
      <c r="AW83" s="4">
        <v>1250</v>
      </c>
      <c r="BA83" s="4">
        <v>233.63</v>
      </c>
      <c r="BB83" s="4">
        <v>2.4</v>
      </c>
      <c r="BC83" s="4" t="s">
        <v>1365</v>
      </c>
      <c r="BD83" s="4" t="s">
        <v>1285</v>
      </c>
      <c r="BE83" s="4" t="s">
        <v>91</v>
      </c>
      <c r="BF83" s="4">
        <v>11</v>
      </c>
      <c r="BG83" s="4">
        <v>62.9</v>
      </c>
      <c r="BI83" s="4">
        <v>7.2</v>
      </c>
      <c r="BK83" s="4">
        <v>0.1</v>
      </c>
      <c r="BL83" s="4" t="s">
        <v>1367</v>
      </c>
      <c r="BM83" s="4" t="s">
        <v>1366</v>
      </c>
    </row>
    <row r="84" spans="4:65">
      <c r="D84" s="17" t="str">
        <f t="shared" si="23"/>
        <v>ErgänzungsfuttermittelKatzeVitamin-Spurenelement-Präparat</v>
      </c>
      <c r="E84" s="4" t="s">
        <v>91</v>
      </c>
      <c r="F84" s="19" t="s">
        <v>90</v>
      </c>
      <c r="G84" s="4" t="s">
        <v>2902</v>
      </c>
      <c r="L84" s="4" t="s">
        <v>1331</v>
      </c>
      <c r="M84">
        <f t="shared" si="25"/>
        <v>11</v>
      </c>
      <c r="N84">
        <f t="shared" si="28"/>
        <v>17.899999999999999</v>
      </c>
      <c r="P84">
        <f t="shared" si="26"/>
        <v>6</v>
      </c>
      <c r="R84">
        <f t="shared" si="27"/>
        <v>8.3000000000000007</v>
      </c>
      <c r="S84" s="4">
        <v>1600</v>
      </c>
      <c r="T84" s="4">
        <v>1400</v>
      </c>
      <c r="U84" s="33">
        <f t="shared" si="24"/>
        <v>1.1428571428571428</v>
      </c>
      <c r="AB84" s="4">
        <v>750</v>
      </c>
      <c r="AE84" s="4">
        <v>1500</v>
      </c>
      <c r="AF84" s="4">
        <v>805</v>
      </c>
      <c r="AL84" s="4">
        <f t="shared" si="29"/>
        <v>0</v>
      </c>
      <c r="AN84" s="4">
        <v>2200</v>
      </c>
      <c r="AW84" s="4">
        <v>400</v>
      </c>
      <c r="BB84" s="4">
        <v>0.12</v>
      </c>
      <c r="BC84" s="4" t="s">
        <v>1331</v>
      </c>
      <c r="BD84" s="4" t="s">
        <v>1285</v>
      </c>
      <c r="BE84" s="4" t="s">
        <v>91</v>
      </c>
      <c r="BF84" s="4">
        <v>11</v>
      </c>
      <c r="BG84" s="4">
        <v>17.899999999999999</v>
      </c>
      <c r="BI84" s="4">
        <v>6</v>
      </c>
      <c r="BK84" s="4">
        <v>8.3000000000000007</v>
      </c>
      <c r="BL84" s="4" t="s">
        <v>1333</v>
      </c>
      <c r="BM84" s="4" t="s">
        <v>1332</v>
      </c>
    </row>
    <row r="85" spans="4:65">
      <c r="D85" s="17" t="str">
        <f t="shared" si="23"/>
        <v>ErgänzungsfuttermittelKatzeVitamin-Spurenelement-Präparat</v>
      </c>
      <c r="E85" s="4" t="s">
        <v>91</v>
      </c>
      <c r="F85" s="19" t="s">
        <v>90</v>
      </c>
      <c r="G85" s="4" t="s">
        <v>2902</v>
      </c>
      <c r="L85" s="4" t="s">
        <v>1334</v>
      </c>
      <c r="M85">
        <f t="shared" si="25"/>
        <v>13</v>
      </c>
      <c r="N85">
        <f t="shared" si="28"/>
        <v>23</v>
      </c>
      <c r="P85">
        <f t="shared" si="26"/>
        <v>18</v>
      </c>
      <c r="R85">
        <f t="shared" si="27"/>
        <v>0.6</v>
      </c>
      <c r="U85" s="33" t="str">
        <f t="shared" si="24"/>
        <v/>
      </c>
      <c r="AB85" s="4">
        <v>200</v>
      </c>
      <c r="AE85" s="4">
        <v>250</v>
      </c>
      <c r="AF85" s="4">
        <f t="shared" ref="AF85:AF106" si="31">AG85*$BO$13</f>
        <v>0</v>
      </c>
      <c r="AL85" s="4">
        <f t="shared" si="29"/>
        <v>0</v>
      </c>
      <c r="AN85" s="4">
        <v>1250</v>
      </c>
      <c r="AQ85" s="4">
        <v>250</v>
      </c>
      <c r="AR85" s="4">
        <v>5000</v>
      </c>
      <c r="AT85" s="4">
        <v>5000</v>
      </c>
      <c r="AV85" s="4">
        <v>60000</v>
      </c>
      <c r="AW85" s="4">
        <v>1250</v>
      </c>
      <c r="AY85" s="4">
        <v>1500</v>
      </c>
      <c r="AZ85" s="4">
        <v>6000</v>
      </c>
      <c r="BA85" s="4">
        <v>29.9</v>
      </c>
      <c r="BB85" s="4">
        <v>4</v>
      </c>
      <c r="BC85" s="4" t="s">
        <v>1334</v>
      </c>
      <c r="BD85" s="4" t="s">
        <v>1285</v>
      </c>
      <c r="BE85" s="4" t="s">
        <v>91</v>
      </c>
      <c r="BF85" s="4">
        <v>13</v>
      </c>
      <c r="BG85" s="4">
        <v>23</v>
      </c>
      <c r="BI85" s="4">
        <v>18</v>
      </c>
      <c r="BK85" s="4">
        <v>0.6</v>
      </c>
      <c r="BL85" s="4" t="s">
        <v>1336</v>
      </c>
      <c r="BM85" s="4" t="s">
        <v>1335</v>
      </c>
    </row>
    <row r="86" spans="4:65">
      <c r="D86" s="17" t="str">
        <f t="shared" si="23"/>
        <v>ErgänzungsfuttermittelKatzeVitamin-Spurenelement-Präparat</v>
      </c>
      <c r="E86" s="4" t="s">
        <v>91</v>
      </c>
      <c r="F86" s="19" t="s">
        <v>90</v>
      </c>
      <c r="G86" s="4" t="s">
        <v>2902</v>
      </c>
      <c r="L86" s="4" t="s">
        <v>1337</v>
      </c>
      <c r="M86">
        <f t="shared" si="25"/>
        <v>12.8</v>
      </c>
      <c r="N86">
        <f t="shared" si="28"/>
        <v>19.399999999999999</v>
      </c>
      <c r="P86">
        <f t="shared" si="26"/>
        <v>6.4</v>
      </c>
      <c r="R86">
        <f t="shared" si="27"/>
        <v>0.3</v>
      </c>
      <c r="U86" s="33" t="str">
        <f t="shared" si="24"/>
        <v/>
      </c>
      <c r="W86" s="4">
        <v>100</v>
      </c>
      <c r="X86" s="4">
        <v>400</v>
      </c>
      <c r="AB86" s="4">
        <v>1300</v>
      </c>
      <c r="AE86" s="4">
        <v>2000</v>
      </c>
      <c r="AF86" s="4">
        <f t="shared" si="31"/>
        <v>0</v>
      </c>
      <c r="AL86" s="4">
        <f t="shared" si="29"/>
        <v>0</v>
      </c>
      <c r="AN86" s="4">
        <v>3000</v>
      </c>
      <c r="BA86" s="4">
        <v>102.5</v>
      </c>
      <c r="BB86" s="4">
        <v>0.23</v>
      </c>
      <c r="BC86" s="4" t="s">
        <v>1338</v>
      </c>
      <c r="BD86" s="4" t="s">
        <v>1285</v>
      </c>
      <c r="BE86" s="4" t="s">
        <v>91</v>
      </c>
      <c r="BF86" s="4">
        <v>12.8</v>
      </c>
      <c r="BG86" s="4">
        <v>19.399999999999999</v>
      </c>
      <c r="BI86" s="4">
        <v>6.4</v>
      </c>
      <c r="BK86" s="4">
        <v>0.3</v>
      </c>
      <c r="BL86" s="4" t="s">
        <v>1340</v>
      </c>
      <c r="BM86" s="4" t="s">
        <v>1339</v>
      </c>
    </row>
    <row r="87" spans="4:65">
      <c r="D87" s="17" t="str">
        <f t="shared" si="23"/>
        <v>ErgänzungsfuttermittelKatzeVitamin-Spurenelement-Präparat</v>
      </c>
      <c r="E87" s="4" t="s">
        <v>91</v>
      </c>
      <c r="F87" s="19" t="s">
        <v>90</v>
      </c>
      <c r="G87" s="4" t="s">
        <v>2902</v>
      </c>
      <c r="L87" s="4" t="s">
        <v>1409</v>
      </c>
      <c r="M87">
        <f t="shared" si="25"/>
        <v>35</v>
      </c>
      <c r="N87">
        <f t="shared" si="28"/>
        <v>20</v>
      </c>
      <c r="P87">
        <f t="shared" si="26"/>
        <v>3.4</v>
      </c>
      <c r="R87">
        <f t="shared" si="27"/>
        <v>7</v>
      </c>
      <c r="S87" s="4">
        <v>8000</v>
      </c>
      <c r="T87" s="4">
        <v>1</v>
      </c>
      <c r="U87" s="33">
        <f t="shared" si="24"/>
        <v>8000</v>
      </c>
      <c r="X87" s="4">
        <v>1500</v>
      </c>
      <c r="AB87" s="4">
        <v>150</v>
      </c>
      <c r="AC87" s="4">
        <v>130</v>
      </c>
      <c r="AF87" s="4">
        <f t="shared" si="31"/>
        <v>0</v>
      </c>
      <c r="AL87" s="4">
        <f t="shared" si="29"/>
        <v>0</v>
      </c>
      <c r="AS87" s="4">
        <v>20000000</v>
      </c>
      <c r="BB87" s="4">
        <v>2</v>
      </c>
      <c r="BC87" s="4" t="s">
        <v>1409</v>
      </c>
      <c r="BD87" s="4" t="s">
        <v>1388</v>
      </c>
      <c r="BE87" s="4" t="s">
        <v>91</v>
      </c>
      <c r="BF87" s="4">
        <v>35</v>
      </c>
      <c r="BG87" s="4">
        <v>20</v>
      </c>
      <c r="BI87" s="4">
        <v>3.4</v>
      </c>
      <c r="BK87" s="4">
        <v>7</v>
      </c>
      <c r="BL87" s="4" t="s">
        <v>1411</v>
      </c>
      <c r="BM87" s="4" t="s">
        <v>1410</v>
      </c>
    </row>
    <row r="88" spans="4:65">
      <c r="D88" s="17" t="str">
        <f t="shared" si="23"/>
        <v>ErgänzungsfuttermittelKatzeVitamin-Spurenelement-Präparat</v>
      </c>
      <c r="E88" s="4" t="s">
        <v>91</v>
      </c>
      <c r="F88" s="19" t="s">
        <v>90</v>
      </c>
      <c r="G88" s="4" t="s">
        <v>2902</v>
      </c>
      <c r="L88" s="4" t="s">
        <v>1526</v>
      </c>
      <c r="M88">
        <f t="shared" si="25"/>
        <v>23.6</v>
      </c>
      <c r="N88">
        <f t="shared" si="28"/>
        <v>13.1</v>
      </c>
      <c r="P88">
        <f t="shared" si="26"/>
        <v>12.8</v>
      </c>
      <c r="R88">
        <f t="shared" si="27"/>
        <v>1</v>
      </c>
      <c r="U88" s="33" t="str">
        <f t="shared" si="24"/>
        <v/>
      </c>
      <c r="X88" s="4">
        <v>150</v>
      </c>
      <c r="Z88" s="4">
        <v>33.6</v>
      </c>
      <c r="AA88" s="4">
        <v>0.64</v>
      </c>
      <c r="AB88" s="4">
        <v>340</v>
      </c>
      <c r="AF88" s="4">
        <f t="shared" si="31"/>
        <v>0</v>
      </c>
      <c r="AL88" s="4">
        <f t="shared" si="29"/>
        <v>0</v>
      </c>
      <c r="AN88" s="4">
        <v>1350</v>
      </c>
      <c r="AO88" s="4">
        <v>13.86</v>
      </c>
      <c r="AP88" s="4">
        <v>32</v>
      </c>
      <c r="AQ88" s="4">
        <v>25.74</v>
      </c>
      <c r="AR88" s="4">
        <v>600</v>
      </c>
      <c r="AV88" s="4">
        <v>9600</v>
      </c>
      <c r="BC88" s="4" t="s">
        <v>1526</v>
      </c>
      <c r="BD88" s="4" t="s">
        <v>1513</v>
      </c>
      <c r="BE88" s="4" t="s">
        <v>91</v>
      </c>
      <c r="BF88" s="4">
        <v>23.6</v>
      </c>
      <c r="BG88" s="4">
        <v>13.1</v>
      </c>
      <c r="BI88" s="4">
        <v>12.8</v>
      </c>
      <c r="BK88" s="4">
        <v>1</v>
      </c>
      <c r="BL88" s="4" t="s">
        <v>1528</v>
      </c>
      <c r="BM88" s="4" t="s">
        <v>1527</v>
      </c>
    </row>
    <row r="89" spans="4:65">
      <c r="D89" s="17" t="str">
        <f t="shared" si="23"/>
        <v>ErgänzungsfuttermittelKatzeVitamin-Spurenelement-Präparat</v>
      </c>
      <c r="E89" s="4" t="s">
        <v>91</v>
      </c>
      <c r="F89" s="19" t="s">
        <v>90</v>
      </c>
      <c r="G89" s="4" t="s">
        <v>2902</v>
      </c>
      <c r="L89" s="4" t="s">
        <v>1538</v>
      </c>
      <c r="M89">
        <f t="shared" si="25"/>
        <v>12.9</v>
      </c>
      <c r="N89">
        <f t="shared" si="28"/>
        <v>7.1</v>
      </c>
      <c r="P89">
        <f t="shared" si="26"/>
        <v>1.4</v>
      </c>
      <c r="R89">
        <f t="shared" si="27"/>
        <v>3.5</v>
      </c>
      <c r="U89" s="33" t="str">
        <f t="shared" si="24"/>
        <v/>
      </c>
      <c r="AB89" s="4">
        <v>115.2</v>
      </c>
      <c r="AF89" s="4">
        <f t="shared" si="31"/>
        <v>0</v>
      </c>
      <c r="AL89" s="4">
        <f t="shared" si="29"/>
        <v>0</v>
      </c>
      <c r="AN89" s="4">
        <v>495</v>
      </c>
      <c r="AW89" s="4">
        <v>3700</v>
      </c>
      <c r="BC89" s="4" t="s">
        <v>1538</v>
      </c>
      <c r="BD89" s="4" t="s">
        <v>1513</v>
      </c>
      <c r="BE89" s="4" t="s">
        <v>91</v>
      </c>
      <c r="BF89" s="4">
        <v>12.9</v>
      </c>
      <c r="BG89" s="4">
        <v>7.1</v>
      </c>
      <c r="BI89" s="4">
        <v>1.4</v>
      </c>
      <c r="BK89" s="4">
        <v>3.5</v>
      </c>
      <c r="BL89" s="4" t="s">
        <v>1540</v>
      </c>
      <c r="BM89" s="4" t="s">
        <v>1539</v>
      </c>
    </row>
    <row r="90" spans="4:65">
      <c r="D90" s="17" t="str">
        <f t="shared" si="23"/>
        <v>ErgänzungsfuttermittelKatzeVitamin-Spurenelement-Präparat</v>
      </c>
      <c r="E90" s="4" t="s">
        <v>91</v>
      </c>
      <c r="F90" s="19" t="s">
        <v>90</v>
      </c>
      <c r="G90" s="4" t="s">
        <v>2902</v>
      </c>
      <c r="L90" s="4" t="s">
        <v>1544</v>
      </c>
      <c r="M90">
        <f t="shared" si="25"/>
        <v>3.4</v>
      </c>
      <c r="N90">
        <f t="shared" si="28"/>
        <v>29.7</v>
      </c>
      <c r="P90">
        <f t="shared" si="26"/>
        <v>0.3</v>
      </c>
      <c r="R90">
        <f t="shared" si="27"/>
        <v>0.5</v>
      </c>
      <c r="U90" s="33" t="str">
        <f t="shared" si="24"/>
        <v/>
      </c>
      <c r="AB90" s="4">
        <v>110</v>
      </c>
      <c r="AF90" s="4">
        <f t="shared" si="31"/>
        <v>0</v>
      </c>
      <c r="AL90" s="4">
        <f t="shared" si="29"/>
        <v>0</v>
      </c>
      <c r="AW90" s="4">
        <v>330</v>
      </c>
      <c r="BB90" s="4">
        <v>4</v>
      </c>
      <c r="BC90" s="4" t="s">
        <v>1544</v>
      </c>
      <c r="BD90" s="4" t="s">
        <v>1513</v>
      </c>
      <c r="BE90" s="4" t="s">
        <v>91</v>
      </c>
      <c r="BF90" s="4">
        <v>3.4</v>
      </c>
      <c r="BG90" s="4">
        <v>29.7</v>
      </c>
      <c r="BI90" s="4">
        <v>0.3</v>
      </c>
      <c r="BK90" s="4">
        <v>0.5</v>
      </c>
      <c r="BL90" s="4" t="s">
        <v>1546</v>
      </c>
      <c r="BM90" s="4" t="s">
        <v>1545</v>
      </c>
    </row>
    <row r="91" spans="4:65">
      <c r="D91" s="17" t="str">
        <f t="shared" si="23"/>
        <v>ErgänzungsfuttermittelKatzeVitamin-Spurenelement-Präparat</v>
      </c>
      <c r="E91" s="4" t="s">
        <v>91</v>
      </c>
      <c r="F91" s="19" t="s">
        <v>90</v>
      </c>
      <c r="G91" s="4" t="s">
        <v>2902</v>
      </c>
      <c r="L91" s="4" t="s">
        <v>1550</v>
      </c>
      <c r="M91">
        <f t="shared" si="25"/>
        <v>3</v>
      </c>
      <c r="N91">
        <f t="shared" si="28"/>
        <v>14.6</v>
      </c>
      <c r="P91">
        <f t="shared" si="26"/>
        <v>0.5</v>
      </c>
      <c r="R91">
        <f t="shared" si="27"/>
        <v>3.2</v>
      </c>
      <c r="U91" s="33" t="str">
        <f t="shared" si="24"/>
        <v/>
      </c>
      <c r="AB91" s="4">
        <v>241.9</v>
      </c>
      <c r="AF91" s="4">
        <f t="shared" si="31"/>
        <v>0</v>
      </c>
      <c r="AL91" s="4">
        <f t="shared" si="29"/>
        <v>0</v>
      </c>
      <c r="AO91" s="4">
        <v>76.823999999999998</v>
      </c>
      <c r="AQ91" s="4">
        <v>33.363</v>
      </c>
      <c r="AR91" s="4">
        <v>145</v>
      </c>
      <c r="AV91" s="4">
        <v>6912</v>
      </c>
      <c r="AW91" s="4">
        <v>1936</v>
      </c>
      <c r="BC91" s="4" t="s">
        <v>1550</v>
      </c>
      <c r="BD91" s="4" t="s">
        <v>1513</v>
      </c>
      <c r="BE91" s="4" t="s">
        <v>91</v>
      </c>
      <c r="BF91" s="4">
        <v>3</v>
      </c>
      <c r="BG91" s="4">
        <v>14.6</v>
      </c>
      <c r="BI91" s="4">
        <v>0.5</v>
      </c>
      <c r="BK91" s="4">
        <v>3.2</v>
      </c>
      <c r="BL91" s="4" t="s">
        <v>1552</v>
      </c>
      <c r="BM91" s="4" t="s">
        <v>1551</v>
      </c>
    </row>
    <row r="92" spans="4:65">
      <c r="D92" s="17" t="str">
        <f t="shared" si="23"/>
        <v>ErgänzungsfuttermittelKatzeVitamin-Spurenelement-Präparat</v>
      </c>
      <c r="E92" s="4" t="s">
        <v>91</v>
      </c>
      <c r="F92" s="19" t="s">
        <v>90</v>
      </c>
      <c r="G92" s="4" t="s">
        <v>2902</v>
      </c>
      <c r="L92" s="4" t="s">
        <v>1814</v>
      </c>
      <c r="M92">
        <f t="shared" si="25"/>
        <v>1.25</v>
      </c>
      <c r="N92">
        <f t="shared" si="28"/>
        <v>4.5</v>
      </c>
      <c r="P92">
        <f t="shared" ref="P92:P93" si="32">BI92</f>
        <v>4.25</v>
      </c>
      <c r="R92">
        <f t="shared" si="27"/>
        <v>0.4</v>
      </c>
      <c r="S92" s="4">
        <v>200</v>
      </c>
      <c r="T92" s="4">
        <v>120</v>
      </c>
      <c r="U92" s="33">
        <f t="shared" si="24"/>
        <v>1.6666666666666667</v>
      </c>
      <c r="W92" s="4">
        <v>200</v>
      </c>
      <c r="X92" s="4">
        <v>120</v>
      </c>
      <c r="Z92" s="4">
        <v>1.3</v>
      </c>
      <c r="AB92" s="4">
        <v>0.7</v>
      </c>
      <c r="AC92" s="4">
        <v>0.22</v>
      </c>
      <c r="AE92" s="4">
        <v>9</v>
      </c>
      <c r="AF92" s="4">
        <f t="shared" si="31"/>
        <v>93</v>
      </c>
      <c r="AG92" s="4">
        <v>310</v>
      </c>
      <c r="AK92" s="4">
        <v>90</v>
      </c>
      <c r="AL92" s="4">
        <f t="shared" si="29"/>
        <v>2.25</v>
      </c>
      <c r="AN92" s="4">
        <v>4</v>
      </c>
      <c r="AO92" s="4">
        <v>0.4</v>
      </c>
      <c r="AP92" s="4">
        <v>0.7</v>
      </c>
      <c r="AQ92" s="4">
        <v>1.5</v>
      </c>
      <c r="AR92" s="4">
        <v>6</v>
      </c>
      <c r="AS92" s="4">
        <v>9</v>
      </c>
      <c r="AY92" s="4">
        <v>40</v>
      </c>
      <c r="AZ92" s="4">
        <v>135</v>
      </c>
      <c r="BA92" s="4">
        <v>96.7</v>
      </c>
      <c r="BB92" s="4">
        <v>40</v>
      </c>
      <c r="BC92" s="4" t="s">
        <v>1814</v>
      </c>
      <c r="BD92" s="4" t="s">
        <v>1815</v>
      </c>
      <c r="BE92" s="4" t="s">
        <v>91</v>
      </c>
      <c r="BF92" s="4">
        <v>1.25</v>
      </c>
      <c r="BG92" s="4">
        <v>4.5</v>
      </c>
      <c r="BI92" s="4">
        <v>4.25</v>
      </c>
      <c r="BK92" s="4">
        <v>0.4</v>
      </c>
      <c r="BL92" s="4" t="s">
        <v>1817</v>
      </c>
      <c r="BM92" s="4" t="s">
        <v>1816</v>
      </c>
    </row>
    <row r="93" spans="4:65">
      <c r="D93" s="17" t="str">
        <f t="shared" si="23"/>
        <v>ErgänzungsfuttermittelKatzeVitamin-Spurenelement-Präparat</v>
      </c>
      <c r="E93" s="4" t="s">
        <v>91</v>
      </c>
      <c r="F93" s="19" t="s">
        <v>90</v>
      </c>
      <c r="G93" s="4" t="s">
        <v>2902</v>
      </c>
      <c r="L93" s="4" t="s">
        <v>1434</v>
      </c>
      <c r="M93">
        <f t="shared" si="25"/>
        <v>1.3</v>
      </c>
      <c r="N93">
        <f t="shared" si="28"/>
        <v>5.5</v>
      </c>
      <c r="P93">
        <f t="shared" si="32"/>
        <v>6.25</v>
      </c>
      <c r="R93">
        <f t="shared" si="27"/>
        <v>0.4</v>
      </c>
      <c r="S93" s="4">
        <v>140</v>
      </c>
      <c r="T93" s="4">
        <v>90</v>
      </c>
      <c r="U93" s="33">
        <f t="shared" si="24"/>
        <v>1.5555555555555556</v>
      </c>
      <c r="W93" s="4">
        <v>150</v>
      </c>
      <c r="X93" s="4">
        <v>50</v>
      </c>
      <c r="Z93" s="4">
        <v>1.2</v>
      </c>
      <c r="AB93" s="4">
        <v>0.73</v>
      </c>
      <c r="AC93" s="4">
        <v>0.2</v>
      </c>
      <c r="AE93" s="4">
        <v>9500</v>
      </c>
      <c r="AF93" s="4">
        <f t="shared" si="31"/>
        <v>96</v>
      </c>
      <c r="AG93" s="4">
        <v>320</v>
      </c>
      <c r="AK93" s="4">
        <v>90</v>
      </c>
      <c r="AL93" s="4">
        <f t="shared" si="29"/>
        <v>2.25</v>
      </c>
      <c r="AN93" s="4">
        <v>2.5</v>
      </c>
      <c r="AO93" s="4">
        <v>0.5</v>
      </c>
      <c r="AP93" s="4">
        <v>0.4</v>
      </c>
      <c r="AQ93" s="4">
        <v>1.5</v>
      </c>
      <c r="AR93" s="4">
        <v>6</v>
      </c>
      <c r="AS93" s="4">
        <v>9</v>
      </c>
      <c r="AY93" s="4">
        <v>30</v>
      </c>
      <c r="AZ93" s="4">
        <v>135</v>
      </c>
      <c r="BA93" s="4">
        <v>107.96</v>
      </c>
      <c r="BB93" s="4">
        <v>40</v>
      </c>
      <c r="BC93" s="4" t="s">
        <v>1434</v>
      </c>
      <c r="BD93" s="4" t="s">
        <v>1815</v>
      </c>
      <c r="BE93" s="4" t="s">
        <v>91</v>
      </c>
      <c r="BF93" s="4">
        <v>1.3</v>
      </c>
      <c r="BG93" s="4">
        <v>5.5</v>
      </c>
      <c r="BI93" s="4">
        <v>6.25</v>
      </c>
      <c r="BK93" s="4">
        <v>0.4</v>
      </c>
      <c r="BL93" s="4" t="s">
        <v>1819</v>
      </c>
      <c r="BM93" s="4" t="s">
        <v>1818</v>
      </c>
    </row>
    <row r="94" spans="4:65">
      <c r="D94" s="17" t="str">
        <f t="shared" si="23"/>
        <v>ErgänzungsfuttermittelKatzeVitamin-Spurenelement-Präparat</v>
      </c>
      <c r="E94" s="4" t="s">
        <v>91</v>
      </c>
      <c r="F94" s="19" t="s">
        <v>90</v>
      </c>
      <c r="G94" s="4" t="s">
        <v>2902</v>
      </c>
      <c r="L94" s="4" t="s">
        <v>1820</v>
      </c>
      <c r="M94">
        <f t="shared" si="25"/>
        <v>1.5</v>
      </c>
      <c r="N94">
        <f t="shared" si="28"/>
        <v>4.2</v>
      </c>
      <c r="P94">
        <f t="shared" ref="P94:P115" si="33">BI94</f>
        <v>4.4000000000000004</v>
      </c>
      <c r="R94">
        <f t="shared" si="27"/>
        <v>0.5</v>
      </c>
      <c r="S94" s="4">
        <v>2000</v>
      </c>
      <c r="T94" s="4">
        <v>100</v>
      </c>
      <c r="U94" s="33">
        <f t="shared" si="24"/>
        <v>20</v>
      </c>
      <c r="V94" s="4">
        <v>30</v>
      </c>
      <c r="W94" s="4">
        <v>150</v>
      </c>
      <c r="X94" s="4">
        <v>50</v>
      </c>
      <c r="Z94" s="4">
        <v>1.2</v>
      </c>
      <c r="AB94" s="4">
        <v>0.2</v>
      </c>
      <c r="AC94" s="4">
        <v>0.2</v>
      </c>
      <c r="AE94" s="4">
        <v>9</v>
      </c>
      <c r="AF94" s="4">
        <f t="shared" si="31"/>
        <v>96</v>
      </c>
      <c r="AG94" s="4">
        <v>320</v>
      </c>
      <c r="AK94" s="4">
        <v>90</v>
      </c>
      <c r="AL94" s="4">
        <f t="shared" si="29"/>
        <v>2.25</v>
      </c>
      <c r="AN94" s="4">
        <v>2.5</v>
      </c>
      <c r="AO94" s="4">
        <v>0.5</v>
      </c>
      <c r="AP94" s="4">
        <v>0.4</v>
      </c>
      <c r="AQ94" s="4">
        <v>1.5</v>
      </c>
      <c r="AR94" s="4">
        <v>6</v>
      </c>
      <c r="AS94" s="4">
        <v>9</v>
      </c>
      <c r="AY94" s="4">
        <v>30</v>
      </c>
      <c r="AZ94" s="4">
        <v>135</v>
      </c>
      <c r="BA94" s="4">
        <v>111.7</v>
      </c>
      <c r="BB94" s="4">
        <v>10</v>
      </c>
      <c r="BC94" s="4" t="s">
        <v>1820</v>
      </c>
      <c r="BD94" s="4" t="s">
        <v>1815</v>
      </c>
      <c r="BE94" s="4" t="s">
        <v>91</v>
      </c>
      <c r="BF94" s="4">
        <v>1.5</v>
      </c>
      <c r="BG94" s="4">
        <v>4.2</v>
      </c>
      <c r="BI94" s="4">
        <v>4.4000000000000004</v>
      </c>
      <c r="BK94" s="4">
        <v>0.5</v>
      </c>
      <c r="BL94" s="4" t="s">
        <v>1819</v>
      </c>
      <c r="BM94" s="4" t="s">
        <v>1821</v>
      </c>
    </row>
    <row r="95" spans="4:65">
      <c r="D95" s="17" t="str">
        <f t="shared" si="23"/>
        <v>ErgänzungsfuttermittelKatzeVitamin-Spurenelement-Präparat</v>
      </c>
      <c r="E95" s="4" t="s">
        <v>91</v>
      </c>
      <c r="F95" s="19" t="s">
        <v>90</v>
      </c>
      <c r="G95" s="4" t="s">
        <v>2902</v>
      </c>
      <c r="L95" s="4" t="s">
        <v>1822</v>
      </c>
      <c r="M95">
        <f t="shared" si="25"/>
        <v>1.25</v>
      </c>
      <c r="N95">
        <f t="shared" si="28"/>
        <v>4.3</v>
      </c>
      <c r="P95">
        <f t="shared" si="33"/>
        <v>4.2</v>
      </c>
      <c r="R95">
        <f t="shared" si="27"/>
        <v>0.75</v>
      </c>
      <c r="S95" s="4">
        <v>180</v>
      </c>
      <c r="T95" s="4">
        <v>120</v>
      </c>
      <c r="U95" s="33">
        <f t="shared" si="24"/>
        <v>1.5</v>
      </c>
      <c r="V95" s="4">
        <v>150</v>
      </c>
      <c r="X95" s="4">
        <v>80</v>
      </c>
      <c r="Z95" s="4">
        <v>2</v>
      </c>
      <c r="AB95" s="4">
        <v>0.65</v>
      </c>
      <c r="AC95" s="4">
        <v>0.24</v>
      </c>
      <c r="AE95" s="4">
        <v>9</v>
      </c>
      <c r="AF95" s="4">
        <f t="shared" si="31"/>
        <v>93</v>
      </c>
      <c r="AG95" s="4">
        <v>310</v>
      </c>
      <c r="AK95" s="4">
        <v>90</v>
      </c>
      <c r="AL95" s="4">
        <f t="shared" si="29"/>
        <v>2.25</v>
      </c>
      <c r="AN95" s="4">
        <v>4</v>
      </c>
      <c r="AO95" s="4">
        <v>0.5</v>
      </c>
      <c r="AP95" s="4">
        <v>0.4</v>
      </c>
      <c r="AQ95" s="4">
        <v>0.8</v>
      </c>
      <c r="AR95" s="4">
        <v>6</v>
      </c>
      <c r="AZ95" s="4">
        <v>5200</v>
      </c>
      <c r="BA95" s="4">
        <v>102.37</v>
      </c>
      <c r="BB95" s="4">
        <v>10</v>
      </c>
      <c r="BC95" s="4" t="s">
        <v>1822</v>
      </c>
      <c r="BD95" s="4" t="s">
        <v>1815</v>
      </c>
      <c r="BE95" s="4" t="s">
        <v>91</v>
      </c>
      <c r="BF95" s="4">
        <v>1.25</v>
      </c>
      <c r="BG95" s="4">
        <v>4.3</v>
      </c>
      <c r="BI95" s="4">
        <v>4.2</v>
      </c>
      <c r="BK95" s="4">
        <v>0.75</v>
      </c>
      <c r="BL95" s="4" t="s">
        <v>1824</v>
      </c>
      <c r="BM95" s="4" t="s">
        <v>1823</v>
      </c>
    </row>
    <row r="96" spans="4:65">
      <c r="D96" s="17" t="str">
        <f t="shared" si="23"/>
        <v>ErgänzungsfuttermittelKatzeVitamin-Spurenelement-Präparat</v>
      </c>
      <c r="E96" s="4" t="s">
        <v>91</v>
      </c>
      <c r="F96" s="19" t="s">
        <v>90</v>
      </c>
      <c r="G96" s="4" t="s">
        <v>2902</v>
      </c>
      <c r="L96" s="4" t="s">
        <v>1825</v>
      </c>
      <c r="M96">
        <f t="shared" si="25"/>
        <v>0</v>
      </c>
      <c r="N96">
        <f t="shared" si="28"/>
        <v>0</v>
      </c>
      <c r="P96">
        <f t="shared" si="33"/>
        <v>0</v>
      </c>
      <c r="R96">
        <f t="shared" si="27"/>
        <v>0</v>
      </c>
      <c r="U96" s="33" t="str">
        <f t="shared" si="24"/>
        <v/>
      </c>
      <c r="V96" s="4">
        <v>1700</v>
      </c>
      <c r="X96" s="4">
        <v>1800</v>
      </c>
      <c r="Y96" s="4">
        <v>2500</v>
      </c>
      <c r="Z96" s="4">
        <v>80</v>
      </c>
      <c r="AA96" s="4">
        <v>30</v>
      </c>
      <c r="AB96" s="4">
        <v>250</v>
      </c>
      <c r="AC96" s="4">
        <v>20</v>
      </c>
      <c r="AD96" s="4">
        <v>5000</v>
      </c>
      <c r="AE96" s="4">
        <v>750</v>
      </c>
      <c r="AF96" s="4">
        <f t="shared" si="31"/>
        <v>7500</v>
      </c>
      <c r="AG96" s="4">
        <v>25000</v>
      </c>
      <c r="AK96" s="4">
        <v>3000</v>
      </c>
      <c r="AL96" s="4">
        <f t="shared" si="29"/>
        <v>75</v>
      </c>
      <c r="AN96" s="4">
        <v>180</v>
      </c>
      <c r="AO96" s="4">
        <v>18</v>
      </c>
      <c r="AP96" s="4">
        <v>30</v>
      </c>
      <c r="AQ96" s="4">
        <v>12</v>
      </c>
      <c r="AR96" s="4">
        <v>250</v>
      </c>
      <c r="AS96" s="4">
        <v>100</v>
      </c>
      <c r="AT96" s="4">
        <v>85</v>
      </c>
      <c r="AU96" s="4">
        <v>120</v>
      </c>
      <c r="AV96" s="4">
        <v>500</v>
      </c>
      <c r="BA96" s="4">
        <v>59.67</v>
      </c>
      <c r="BB96" s="4">
        <v>2.4</v>
      </c>
      <c r="BC96" s="4" t="s">
        <v>1825</v>
      </c>
      <c r="BD96" s="4" t="s">
        <v>1826</v>
      </c>
      <c r="BE96" s="4" t="s">
        <v>91</v>
      </c>
      <c r="BL96" s="4" t="s">
        <v>1828</v>
      </c>
      <c r="BM96" s="4" t="s">
        <v>1827</v>
      </c>
    </row>
    <row r="97" spans="4:65">
      <c r="D97" s="17" t="str">
        <f t="shared" si="23"/>
        <v>ErgänzungsfuttermittelKatzeVitamin-Spurenelement-Präparat</v>
      </c>
      <c r="E97" s="4" t="s">
        <v>91</v>
      </c>
      <c r="F97" s="19" t="s">
        <v>90</v>
      </c>
      <c r="G97" s="4" t="s">
        <v>2902</v>
      </c>
      <c r="L97" s="4" t="s">
        <v>2601</v>
      </c>
      <c r="M97">
        <f t="shared" si="25"/>
        <v>1.7</v>
      </c>
      <c r="N97">
        <f t="shared" si="28"/>
        <v>8.4</v>
      </c>
      <c r="P97">
        <f t="shared" si="33"/>
        <v>20</v>
      </c>
      <c r="R97">
        <f t="shared" si="27"/>
        <v>0.2</v>
      </c>
      <c r="U97" s="33" t="str">
        <f t="shared" si="24"/>
        <v/>
      </c>
      <c r="Z97" s="4">
        <v>40</v>
      </c>
      <c r="AB97" s="4">
        <v>6.8250000000000002</v>
      </c>
      <c r="AC97" s="4">
        <v>16</v>
      </c>
      <c r="AD97" s="4">
        <v>341</v>
      </c>
      <c r="AF97" s="4">
        <f t="shared" si="31"/>
        <v>19500</v>
      </c>
      <c r="AG97" s="4">
        <v>65000</v>
      </c>
      <c r="AK97" s="4">
        <v>1600</v>
      </c>
      <c r="AL97" s="4">
        <f t="shared" si="29"/>
        <v>40</v>
      </c>
      <c r="AN97" s="4">
        <v>342.5</v>
      </c>
      <c r="AO97" s="4">
        <v>48</v>
      </c>
      <c r="AP97" s="4">
        <v>32</v>
      </c>
      <c r="AQ97" s="4">
        <v>24</v>
      </c>
      <c r="AS97" s="4">
        <v>51.14</v>
      </c>
      <c r="AT97" s="4">
        <v>96</v>
      </c>
      <c r="AU97" s="4">
        <v>60</v>
      </c>
      <c r="AV97" s="4">
        <v>4800</v>
      </c>
      <c r="AW97" s="4">
        <v>96</v>
      </c>
      <c r="AY97" s="4">
        <v>200</v>
      </c>
      <c r="AZ97" s="4">
        <v>500</v>
      </c>
      <c r="BA97" s="4">
        <v>188</v>
      </c>
      <c r="BB97" s="4">
        <v>1.2</v>
      </c>
      <c r="BC97" s="4" t="s">
        <v>2601</v>
      </c>
      <c r="BD97" s="4" t="s">
        <v>2451</v>
      </c>
      <c r="BE97" s="4" t="s">
        <v>91</v>
      </c>
      <c r="BF97" s="4">
        <v>1.7</v>
      </c>
      <c r="BG97" s="4">
        <v>8.4</v>
      </c>
      <c r="BI97" s="4">
        <v>20</v>
      </c>
      <c r="BK97" s="4">
        <v>0.2</v>
      </c>
      <c r="BL97" s="4" t="s">
        <v>2603</v>
      </c>
      <c r="BM97" s="4" t="s">
        <v>2602</v>
      </c>
    </row>
    <row r="98" spans="4:65">
      <c r="D98" s="17" t="str">
        <f t="shared" si="23"/>
        <v>ErgänzungsfuttermittelKatzeVitamin-Spurenelement-Präparat</v>
      </c>
      <c r="E98" s="4" t="s">
        <v>91</v>
      </c>
      <c r="F98" s="19" t="s">
        <v>90</v>
      </c>
      <c r="G98" s="4" t="s">
        <v>2902</v>
      </c>
      <c r="L98" s="4" t="s">
        <v>2558</v>
      </c>
      <c r="M98">
        <f t="shared" si="25"/>
        <v>1.7</v>
      </c>
      <c r="N98">
        <f t="shared" si="28"/>
        <v>11.7</v>
      </c>
      <c r="P98">
        <f t="shared" si="33"/>
        <v>0.5</v>
      </c>
      <c r="R98">
        <f t="shared" si="27"/>
        <v>0.4</v>
      </c>
      <c r="U98" s="33" t="str">
        <f t="shared" si="24"/>
        <v/>
      </c>
      <c r="AC98" s="4">
        <v>1000</v>
      </c>
      <c r="AF98" s="4">
        <f t="shared" si="31"/>
        <v>0</v>
      </c>
      <c r="AL98" s="4">
        <f t="shared" si="29"/>
        <v>0</v>
      </c>
      <c r="AW98" s="4">
        <v>1000</v>
      </c>
      <c r="BA98" s="4">
        <v>55.98</v>
      </c>
      <c r="BB98" s="4">
        <v>3.75</v>
      </c>
      <c r="BC98" s="4" t="s">
        <v>2558</v>
      </c>
      <c r="BD98" s="4" t="s">
        <v>2552</v>
      </c>
      <c r="BE98" s="4" t="s">
        <v>91</v>
      </c>
      <c r="BF98" s="4">
        <v>1.7</v>
      </c>
      <c r="BG98" s="4">
        <v>11.7</v>
      </c>
      <c r="BI98" s="4">
        <v>0.5</v>
      </c>
      <c r="BK98" s="4">
        <v>0.4</v>
      </c>
      <c r="BL98" s="4" t="s">
        <v>2560</v>
      </c>
      <c r="BM98" s="4" t="s">
        <v>2559</v>
      </c>
    </row>
    <row r="99" spans="4:65">
      <c r="D99" s="17" t="str">
        <f t="shared" si="23"/>
        <v>ErgänzungsfuttermittelKatzeVitamin-Spurenelement-Präparat</v>
      </c>
      <c r="E99" s="4" t="s">
        <v>91</v>
      </c>
      <c r="F99" s="19" t="s">
        <v>90</v>
      </c>
      <c r="G99" s="4" t="s">
        <v>2902</v>
      </c>
      <c r="L99" s="4" t="s">
        <v>26</v>
      </c>
      <c r="M99">
        <f t="shared" si="25"/>
        <v>0.65</v>
      </c>
      <c r="N99">
        <f t="shared" si="28"/>
        <v>1.75</v>
      </c>
      <c r="P99">
        <f t="shared" si="33"/>
        <v>0</v>
      </c>
      <c r="R99">
        <f t="shared" si="27"/>
        <v>0</v>
      </c>
      <c r="U99" s="33" t="str">
        <f t="shared" si="24"/>
        <v/>
      </c>
      <c r="X99" s="4">
        <v>300</v>
      </c>
      <c r="AB99" s="4">
        <v>500</v>
      </c>
      <c r="AF99" s="4">
        <f t="shared" si="31"/>
        <v>0</v>
      </c>
      <c r="AL99" s="4">
        <f t="shared" si="29"/>
        <v>0</v>
      </c>
      <c r="AS99" s="4">
        <v>200000</v>
      </c>
      <c r="BA99" s="4">
        <v>63.96</v>
      </c>
      <c r="BB99" s="4">
        <v>3</v>
      </c>
      <c r="BC99" s="4" t="s">
        <v>26</v>
      </c>
      <c r="BD99" s="4" t="s">
        <v>424</v>
      </c>
      <c r="BE99" s="4" t="s">
        <v>91</v>
      </c>
      <c r="BF99" s="4">
        <v>0.65</v>
      </c>
      <c r="BG99" s="4">
        <v>1.75</v>
      </c>
      <c r="BK99" s="4">
        <v>0</v>
      </c>
      <c r="BL99" s="4" t="s">
        <v>26</v>
      </c>
      <c r="BM99" s="4" t="s">
        <v>1645</v>
      </c>
    </row>
    <row r="100" spans="4:65">
      <c r="D100" s="17" t="str">
        <f t="shared" ref="D100:D115" si="34">E100&amp;""&amp;F100&amp;""&amp;G100&amp;""&amp;H100</f>
        <v>ErgänzungsfuttermittelKatzeVitamin-Spurenelement-Präparat</v>
      </c>
      <c r="E100" s="4" t="s">
        <v>91</v>
      </c>
      <c r="F100" s="19" t="s">
        <v>90</v>
      </c>
      <c r="G100" s="4" t="s">
        <v>2902</v>
      </c>
      <c r="L100" s="4" t="s">
        <v>1731</v>
      </c>
      <c r="M100">
        <f t="shared" si="25"/>
        <v>4.8</v>
      </c>
      <c r="N100">
        <f t="shared" si="28"/>
        <v>17.7</v>
      </c>
      <c r="P100">
        <f t="shared" si="33"/>
        <v>5.6</v>
      </c>
      <c r="R100">
        <f t="shared" si="27"/>
        <v>3.8</v>
      </c>
      <c r="U100" s="33" t="str">
        <f t="shared" si="24"/>
        <v/>
      </c>
      <c r="AB100" s="4">
        <v>0.04</v>
      </c>
      <c r="AF100" s="4">
        <f t="shared" si="31"/>
        <v>18</v>
      </c>
      <c r="AG100" s="4">
        <v>60</v>
      </c>
      <c r="AK100" s="4">
        <v>15</v>
      </c>
      <c r="AL100" s="4">
        <f t="shared" si="29"/>
        <v>0.375</v>
      </c>
      <c r="AN100" s="4">
        <v>4.0199999999999996</v>
      </c>
      <c r="AW100" s="4">
        <v>10</v>
      </c>
      <c r="BA100" s="4">
        <v>115</v>
      </c>
      <c r="BB100" s="4">
        <v>1.25</v>
      </c>
      <c r="BC100" s="4" t="s">
        <v>1732</v>
      </c>
      <c r="BD100" s="4" t="s">
        <v>1733</v>
      </c>
      <c r="BE100" s="4" t="s">
        <v>91</v>
      </c>
      <c r="BF100" s="4">
        <v>4.8</v>
      </c>
      <c r="BG100" s="4">
        <v>17.7</v>
      </c>
      <c r="BI100" s="4">
        <v>5.6</v>
      </c>
      <c r="BK100" s="4">
        <v>3.8</v>
      </c>
      <c r="BL100" s="4" t="s">
        <v>1735</v>
      </c>
      <c r="BM100" s="4" t="s">
        <v>1734</v>
      </c>
    </row>
    <row r="101" spans="4:65">
      <c r="D101" s="17" t="str">
        <f t="shared" si="34"/>
        <v>ErgänzungsfuttermittelKatzeVitamin-Spurenelement-Präparat</v>
      </c>
      <c r="E101" s="4" t="s">
        <v>91</v>
      </c>
      <c r="F101" s="19" t="s">
        <v>90</v>
      </c>
      <c r="G101" s="4" t="s">
        <v>2902</v>
      </c>
      <c r="L101" s="4" t="s">
        <v>1739</v>
      </c>
      <c r="M101">
        <f t="shared" si="25"/>
        <v>6.8</v>
      </c>
      <c r="N101">
        <f t="shared" si="28"/>
        <v>29.3</v>
      </c>
      <c r="P101">
        <f t="shared" si="33"/>
        <v>1.5</v>
      </c>
      <c r="R101">
        <f t="shared" si="27"/>
        <v>0.5</v>
      </c>
      <c r="U101" s="33" t="str">
        <f t="shared" si="24"/>
        <v/>
      </c>
      <c r="AB101" s="4">
        <v>0.04</v>
      </c>
      <c r="AF101" s="4">
        <f t="shared" si="31"/>
        <v>18</v>
      </c>
      <c r="AG101" s="4">
        <v>60</v>
      </c>
      <c r="AK101" s="4">
        <v>15</v>
      </c>
      <c r="AL101" s="4">
        <f t="shared" si="29"/>
        <v>0.375</v>
      </c>
      <c r="AN101" s="4">
        <v>4.0199999999999996</v>
      </c>
      <c r="AW101" s="4">
        <v>10</v>
      </c>
      <c r="BA101" s="4">
        <v>108.33</v>
      </c>
      <c r="BB101" s="4">
        <v>1.25</v>
      </c>
      <c r="BC101" s="4" t="s">
        <v>1740</v>
      </c>
      <c r="BD101" s="4" t="s">
        <v>1733</v>
      </c>
      <c r="BE101" s="4" t="s">
        <v>91</v>
      </c>
      <c r="BF101" s="4">
        <v>6.8</v>
      </c>
      <c r="BG101" s="4">
        <v>29.3</v>
      </c>
      <c r="BI101" s="4">
        <v>1.5</v>
      </c>
      <c r="BK101" s="4">
        <v>0.5</v>
      </c>
      <c r="BL101" s="4" t="s">
        <v>1742</v>
      </c>
      <c r="BM101" s="4" t="s">
        <v>1741</v>
      </c>
    </row>
    <row r="102" spans="4:65">
      <c r="D102" s="17" t="str">
        <f t="shared" si="34"/>
        <v>ErgänzungsfuttermittelKatzeVitamin-Spurenelement-Präparat</v>
      </c>
      <c r="E102" s="4" t="s">
        <v>91</v>
      </c>
      <c r="F102" s="19" t="s">
        <v>90</v>
      </c>
      <c r="G102" s="4" t="s">
        <v>2902</v>
      </c>
      <c r="L102" s="4" t="s">
        <v>2410</v>
      </c>
      <c r="M102">
        <f t="shared" ref="M102:M115" si="35">BF102</f>
        <v>3</v>
      </c>
      <c r="N102">
        <f t="shared" si="28"/>
        <v>1</v>
      </c>
      <c r="P102">
        <f t="shared" si="33"/>
        <v>0</v>
      </c>
      <c r="R102">
        <f t="shared" si="27"/>
        <v>0</v>
      </c>
      <c r="U102" s="33" t="str">
        <f t="shared" si="24"/>
        <v/>
      </c>
      <c r="Z102" s="4">
        <v>1000</v>
      </c>
      <c r="AF102" s="4">
        <f t="shared" si="31"/>
        <v>0</v>
      </c>
      <c r="AL102" s="4">
        <f t="shared" si="29"/>
        <v>0</v>
      </c>
      <c r="AO102" s="4">
        <v>10</v>
      </c>
      <c r="AP102" s="4">
        <v>15</v>
      </c>
      <c r="AQ102" s="4">
        <v>10</v>
      </c>
      <c r="AR102" s="4">
        <v>150</v>
      </c>
      <c r="AS102" s="4">
        <v>500</v>
      </c>
      <c r="AT102" s="4">
        <v>60</v>
      </c>
      <c r="AU102" s="4">
        <v>30</v>
      </c>
      <c r="AV102" s="4">
        <v>1000</v>
      </c>
      <c r="BA102" s="4">
        <v>26.98</v>
      </c>
      <c r="BB102" s="4">
        <v>6</v>
      </c>
      <c r="BC102" s="4" t="s">
        <v>2410</v>
      </c>
      <c r="BD102" s="4" t="s">
        <v>2397</v>
      </c>
      <c r="BE102" s="4" t="s">
        <v>91</v>
      </c>
      <c r="BF102" s="4">
        <v>3</v>
      </c>
      <c r="BG102" s="4">
        <v>1</v>
      </c>
      <c r="BI102" s="4">
        <v>0</v>
      </c>
      <c r="BK102" s="4">
        <v>0</v>
      </c>
      <c r="BL102" s="4" t="s">
        <v>2411</v>
      </c>
      <c r="BM102" s="4" t="s">
        <v>2412</v>
      </c>
    </row>
    <row r="103" spans="4:65">
      <c r="D103" s="17" t="str">
        <f t="shared" si="34"/>
        <v>ErgänzungsfuttermittelKatzeVitamin-Spurenelement-Präparat</v>
      </c>
      <c r="E103" s="4" t="s">
        <v>91</v>
      </c>
      <c r="F103" s="19" t="s">
        <v>90</v>
      </c>
      <c r="G103" s="4" t="s">
        <v>2902</v>
      </c>
      <c r="L103" s="4" t="s">
        <v>2413</v>
      </c>
      <c r="M103">
        <f t="shared" si="35"/>
        <v>5.2</v>
      </c>
      <c r="N103">
        <f t="shared" si="28"/>
        <v>1</v>
      </c>
      <c r="P103">
        <f t="shared" si="33"/>
        <v>0.7</v>
      </c>
      <c r="R103">
        <f t="shared" si="27"/>
        <v>0.5</v>
      </c>
      <c r="U103" s="33" t="str">
        <f t="shared" si="24"/>
        <v/>
      </c>
      <c r="AB103" s="4">
        <v>830</v>
      </c>
      <c r="AF103" s="4">
        <f t="shared" si="31"/>
        <v>0</v>
      </c>
      <c r="AL103" s="4">
        <f t="shared" si="29"/>
        <v>0</v>
      </c>
      <c r="AS103" s="4">
        <v>200000</v>
      </c>
      <c r="BA103" s="4">
        <v>53.18</v>
      </c>
      <c r="BB103" s="4">
        <v>1</v>
      </c>
      <c r="BC103" s="4" t="s">
        <v>2417</v>
      </c>
      <c r="BD103" s="4" t="s">
        <v>2397</v>
      </c>
      <c r="BE103" s="4" t="s">
        <v>91</v>
      </c>
      <c r="BF103" s="4">
        <v>5.2</v>
      </c>
      <c r="BG103" s="4">
        <v>1</v>
      </c>
      <c r="BI103" s="4">
        <v>0.7</v>
      </c>
      <c r="BK103" s="4">
        <v>0.5</v>
      </c>
      <c r="BL103" s="4" t="s">
        <v>2415</v>
      </c>
      <c r="BM103" s="4" t="s">
        <v>2414</v>
      </c>
    </row>
    <row r="104" spans="4:65">
      <c r="D104" s="17" t="str">
        <f t="shared" si="34"/>
        <v>ErgänzungsfuttermittelKatzeVitamin-Spurenelement-Präparat</v>
      </c>
      <c r="E104" s="4" t="s">
        <v>91</v>
      </c>
      <c r="F104" s="19" t="s">
        <v>90</v>
      </c>
      <c r="G104" s="4" t="s">
        <v>2902</v>
      </c>
      <c r="L104" s="4" t="s">
        <v>1846</v>
      </c>
      <c r="M104">
        <f t="shared" si="35"/>
        <v>22.4</v>
      </c>
      <c r="N104">
        <f t="shared" si="28"/>
        <v>14.7</v>
      </c>
      <c r="P104">
        <f t="shared" si="33"/>
        <v>0.5</v>
      </c>
      <c r="R104">
        <f t="shared" ref="R104:R111" si="36">BK104</f>
        <v>49.9</v>
      </c>
      <c r="S104" s="4">
        <v>3000</v>
      </c>
      <c r="T104" s="4">
        <v>2200</v>
      </c>
      <c r="U104" s="33">
        <f t="shared" si="24"/>
        <v>1.3636363636363635</v>
      </c>
      <c r="V104" s="4">
        <v>2500</v>
      </c>
      <c r="X104" s="4">
        <v>2000</v>
      </c>
      <c r="Z104" s="4">
        <v>80</v>
      </c>
      <c r="AA104" s="4">
        <v>30</v>
      </c>
      <c r="AB104" s="4">
        <v>250</v>
      </c>
      <c r="AC104" s="4">
        <v>20</v>
      </c>
      <c r="AD104" s="4">
        <v>5000</v>
      </c>
      <c r="AE104" s="4">
        <v>750</v>
      </c>
      <c r="AF104" s="4">
        <f t="shared" si="31"/>
        <v>7500</v>
      </c>
      <c r="AG104" s="4">
        <v>25000</v>
      </c>
      <c r="AK104" s="4">
        <v>3000</v>
      </c>
      <c r="AL104" s="4">
        <f t="shared" si="29"/>
        <v>75</v>
      </c>
      <c r="AN104" s="4">
        <v>180</v>
      </c>
      <c r="AO104" s="4">
        <v>18</v>
      </c>
      <c r="AP104" s="4">
        <v>30</v>
      </c>
      <c r="AQ104" s="4">
        <v>12</v>
      </c>
      <c r="AR104" s="4">
        <v>300</v>
      </c>
      <c r="AS104" s="4">
        <v>300</v>
      </c>
      <c r="AT104" s="4">
        <v>85</v>
      </c>
      <c r="AU104" s="4">
        <v>120</v>
      </c>
      <c r="AV104" s="4">
        <v>500</v>
      </c>
      <c r="AZ104" s="4">
        <v>3500</v>
      </c>
      <c r="BA104" s="4">
        <v>59.8</v>
      </c>
      <c r="BB104" s="4">
        <v>1.6</v>
      </c>
      <c r="BC104" s="4" t="s">
        <v>1846</v>
      </c>
      <c r="BD104" s="4" t="s">
        <v>1826</v>
      </c>
      <c r="BE104" s="4" t="s">
        <v>91</v>
      </c>
      <c r="BF104" s="4">
        <v>22.4</v>
      </c>
      <c r="BG104" s="4">
        <v>14.7</v>
      </c>
      <c r="BI104" s="4">
        <v>0.5</v>
      </c>
      <c r="BK104" s="4">
        <v>49.9</v>
      </c>
      <c r="BL104" s="4" t="s">
        <v>1848</v>
      </c>
      <c r="BM104" s="4" t="s">
        <v>1847</v>
      </c>
    </row>
    <row r="105" spans="4:65">
      <c r="D105" s="17" t="str">
        <f t="shared" si="34"/>
        <v>ErgänzungsfuttermittelKatzeVitamin-Spurenelement-Präparat</v>
      </c>
      <c r="E105" s="4" t="s">
        <v>91</v>
      </c>
      <c r="F105" s="19" t="s">
        <v>90</v>
      </c>
      <c r="G105" s="4" t="s">
        <v>2902</v>
      </c>
      <c r="L105" s="4" t="s">
        <v>2101</v>
      </c>
      <c r="M105">
        <f t="shared" si="35"/>
        <v>27.3</v>
      </c>
      <c r="N105">
        <f t="shared" ref="N105:N115" si="37">BG105</f>
        <v>0</v>
      </c>
      <c r="P105">
        <f t="shared" si="33"/>
        <v>16</v>
      </c>
      <c r="R105">
        <f t="shared" si="36"/>
        <v>0</v>
      </c>
      <c r="U105" s="33" t="str">
        <f t="shared" si="24"/>
        <v/>
      </c>
      <c r="AB105" s="4">
        <v>238</v>
      </c>
      <c r="AE105" s="4">
        <v>254</v>
      </c>
      <c r="AF105" s="4">
        <f t="shared" si="31"/>
        <v>6240</v>
      </c>
      <c r="AG105" s="4">
        <v>20800</v>
      </c>
      <c r="AK105" s="4">
        <v>264</v>
      </c>
      <c r="AL105" s="4">
        <f t="shared" si="29"/>
        <v>6.6000000000000005</v>
      </c>
      <c r="AN105" s="4">
        <v>1279.7</v>
      </c>
      <c r="AP105" s="4">
        <v>425</v>
      </c>
      <c r="AQ105" s="4">
        <v>531</v>
      </c>
      <c r="AR105" s="4">
        <v>1270</v>
      </c>
      <c r="AS105" s="4">
        <v>1940</v>
      </c>
      <c r="AZ105" s="4">
        <v>2540</v>
      </c>
      <c r="BA105" s="4">
        <v>239.9</v>
      </c>
      <c r="BC105" s="4" t="s">
        <v>2101</v>
      </c>
      <c r="BD105" s="4" t="s">
        <v>1258</v>
      </c>
      <c r="BE105" s="4" t="s">
        <v>91</v>
      </c>
      <c r="BF105" s="4">
        <v>27.3</v>
      </c>
      <c r="BI105" s="4">
        <v>16</v>
      </c>
      <c r="BL105" s="4" t="s">
        <v>2103</v>
      </c>
      <c r="BM105" s="4" t="s">
        <v>2102</v>
      </c>
    </row>
    <row r="106" spans="4:65">
      <c r="D106" s="17" t="str">
        <f t="shared" si="34"/>
        <v>ErgänzungsfuttermittelKatzeVitamin-Spurenelement-Präparat</v>
      </c>
      <c r="E106" s="4" t="s">
        <v>91</v>
      </c>
      <c r="F106" s="19" t="s">
        <v>90</v>
      </c>
      <c r="G106" s="4" t="s">
        <v>2902</v>
      </c>
      <c r="L106" s="4" t="s">
        <v>2107</v>
      </c>
      <c r="M106">
        <f t="shared" si="35"/>
        <v>8.6</v>
      </c>
      <c r="N106">
        <f t="shared" si="37"/>
        <v>26.5</v>
      </c>
      <c r="P106">
        <f t="shared" si="33"/>
        <v>10.5</v>
      </c>
      <c r="R106">
        <f t="shared" si="36"/>
        <v>0.6</v>
      </c>
      <c r="U106" s="33" t="str">
        <f t="shared" si="24"/>
        <v/>
      </c>
      <c r="W106" s="4">
        <v>10</v>
      </c>
      <c r="AB106" s="4">
        <v>100</v>
      </c>
      <c r="AE106" s="4">
        <v>500</v>
      </c>
      <c r="AF106" s="4">
        <f t="shared" si="31"/>
        <v>6000</v>
      </c>
      <c r="AG106" s="4">
        <v>20000</v>
      </c>
      <c r="AK106" s="4">
        <v>1000</v>
      </c>
      <c r="AL106" s="4">
        <f t="shared" si="29"/>
        <v>25</v>
      </c>
      <c r="AN106" s="4">
        <v>200</v>
      </c>
      <c r="AR106" s="4">
        <v>100</v>
      </c>
      <c r="AT106" s="4">
        <v>0.64</v>
      </c>
      <c r="AX106" s="4">
        <v>2</v>
      </c>
      <c r="BA106" s="4">
        <v>457.39</v>
      </c>
      <c r="BC106" s="4" t="s">
        <v>2107</v>
      </c>
      <c r="BD106" s="4" t="s">
        <v>1258</v>
      </c>
      <c r="BE106" s="4" t="s">
        <v>91</v>
      </c>
      <c r="BF106" s="4">
        <v>8.6</v>
      </c>
      <c r="BG106" s="4">
        <v>26.5</v>
      </c>
      <c r="BI106" s="4">
        <v>10.5</v>
      </c>
      <c r="BK106" s="4">
        <v>0.6</v>
      </c>
      <c r="BL106" s="4" t="s">
        <v>2109</v>
      </c>
      <c r="BM106" s="4" t="s">
        <v>2108</v>
      </c>
    </row>
    <row r="107" spans="4:65">
      <c r="D107" s="17" t="str">
        <f t="shared" si="34"/>
        <v>ErgänzungsfuttermittelKatzeVitamin-Spurenelement-Präparat</v>
      </c>
      <c r="E107" s="4" t="s">
        <v>91</v>
      </c>
      <c r="F107" s="19" t="s">
        <v>90</v>
      </c>
      <c r="G107" s="4" t="s">
        <v>2902</v>
      </c>
      <c r="L107" s="4" t="s">
        <v>554</v>
      </c>
      <c r="M107">
        <f t="shared" si="35"/>
        <v>7</v>
      </c>
      <c r="N107">
        <f t="shared" si="37"/>
        <v>25.5</v>
      </c>
      <c r="P107">
        <f t="shared" si="33"/>
        <v>11</v>
      </c>
      <c r="R107">
        <f t="shared" si="36"/>
        <v>1.5</v>
      </c>
      <c r="U107" s="33" t="str">
        <f t="shared" si="24"/>
        <v/>
      </c>
      <c r="AC107" s="4">
        <v>250</v>
      </c>
      <c r="AF107" s="4">
        <f t="shared" ref="AF107:AF116" si="38">AG107*$BO$13</f>
        <v>0</v>
      </c>
      <c r="AL107" s="4">
        <f t="shared" si="29"/>
        <v>0</v>
      </c>
      <c r="AN107" s="4">
        <v>940</v>
      </c>
      <c r="BB107" s="4">
        <v>0.82</v>
      </c>
      <c r="BC107" s="4" t="s">
        <v>554</v>
      </c>
      <c r="BD107" s="4" t="s">
        <v>539</v>
      </c>
      <c r="BE107" s="4" t="s">
        <v>91</v>
      </c>
      <c r="BF107" s="4">
        <v>7</v>
      </c>
      <c r="BG107" s="4">
        <v>25.5</v>
      </c>
      <c r="BI107" s="4">
        <v>11</v>
      </c>
      <c r="BK107" s="4">
        <v>1.5</v>
      </c>
      <c r="BL107" s="4" t="s">
        <v>556</v>
      </c>
      <c r="BM107" s="4" t="s">
        <v>555</v>
      </c>
    </row>
    <row r="108" spans="4:65">
      <c r="D108" s="17" t="str">
        <f t="shared" si="34"/>
        <v>ErgänzungsfuttermittelKatzeVitamin-Spurenelement-Präparat</v>
      </c>
      <c r="E108" s="4" t="s">
        <v>91</v>
      </c>
      <c r="F108" s="19" t="s">
        <v>90</v>
      </c>
      <c r="G108" s="4" t="s">
        <v>2902</v>
      </c>
      <c r="L108" s="4" t="s">
        <v>557</v>
      </c>
      <c r="M108">
        <f t="shared" si="35"/>
        <v>4</v>
      </c>
      <c r="N108">
        <f t="shared" si="37"/>
        <v>25.5</v>
      </c>
      <c r="P108">
        <f t="shared" si="33"/>
        <v>10</v>
      </c>
      <c r="R108">
        <f t="shared" si="36"/>
        <v>7</v>
      </c>
      <c r="U108" s="33" t="str">
        <f t="shared" si="24"/>
        <v/>
      </c>
      <c r="AC108" s="4">
        <v>200</v>
      </c>
      <c r="AF108" s="4">
        <f t="shared" si="38"/>
        <v>0</v>
      </c>
      <c r="AL108" s="4">
        <f t="shared" si="29"/>
        <v>0</v>
      </c>
      <c r="AN108" s="4">
        <v>333.3</v>
      </c>
      <c r="BB108" s="4">
        <v>1.5</v>
      </c>
      <c r="BC108" s="4" t="s">
        <v>557</v>
      </c>
      <c r="BD108" s="4" t="s">
        <v>539</v>
      </c>
      <c r="BE108" s="4" t="s">
        <v>91</v>
      </c>
      <c r="BF108" s="4">
        <v>4</v>
      </c>
      <c r="BG108" s="4">
        <v>25.5</v>
      </c>
      <c r="BI108" s="4">
        <v>10</v>
      </c>
      <c r="BK108" s="4">
        <v>7</v>
      </c>
      <c r="BL108" s="4" t="s">
        <v>559</v>
      </c>
      <c r="BM108" s="4" t="s">
        <v>558</v>
      </c>
    </row>
    <row r="109" spans="4:65">
      <c r="D109" s="17" t="str">
        <f t="shared" si="34"/>
        <v>ErgänzungsfuttermittelKatzeVitamin-Spurenelement-Präparat</v>
      </c>
      <c r="E109" s="4" t="s">
        <v>91</v>
      </c>
      <c r="F109" s="19" t="s">
        <v>90</v>
      </c>
      <c r="G109" s="4" t="s">
        <v>2902</v>
      </c>
      <c r="L109" s="4" t="s">
        <v>545</v>
      </c>
      <c r="M109">
        <f t="shared" si="35"/>
        <v>4</v>
      </c>
      <c r="N109">
        <f t="shared" si="37"/>
        <v>25.5</v>
      </c>
      <c r="P109">
        <f t="shared" si="33"/>
        <v>10</v>
      </c>
      <c r="R109">
        <f t="shared" si="36"/>
        <v>7</v>
      </c>
      <c r="U109" s="33" t="str">
        <f t="shared" si="24"/>
        <v/>
      </c>
      <c r="AC109" s="4">
        <v>200</v>
      </c>
      <c r="AF109" s="4">
        <f t="shared" si="38"/>
        <v>0</v>
      </c>
      <c r="AL109" s="4">
        <f t="shared" si="29"/>
        <v>0</v>
      </c>
      <c r="AN109" s="4">
        <v>333.3</v>
      </c>
      <c r="BB109" s="4">
        <v>1.5</v>
      </c>
      <c r="BC109" s="4" t="s">
        <v>545</v>
      </c>
      <c r="BD109" s="4" t="s">
        <v>539</v>
      </c>
      <c r="BE109" s="4" t="s">
        <v>91</v>
      </c>
      <c r="BF109" s="4">
        <v>4</v>
      </c>
      <c r="BG109" s="4">
        <v>25.5</v>
      </c>
      <c r="BI109" s="4">
        <v>10</v>
      </c>
      <c r="BK109" s="4">
        <v>7</v>
      </c>
      <c r="BL109" s="4" t="s">
        <v>547</v>
      </c>
      <c r="BM109" s="4" t="s">
        <v>546</v>
      </c>
    </row>
    <row r="110" spans="4:65">
      <c r="D110" s="17" t="str">
        <f t="shared" si="34"/>
        <v>ErgänzungsfuttermittelKatzeVitamin-Spurenelement-Präparat</v>
      </c>
      <c r="E110" s="4" t="s">
        <v>91</v>
      </c>
      <c r="F110" s="19" t="s">
        <v>90</v>
      </c>
      <c r="G110" s="4" t="s">
        <v>2902</v>
      </c>
      <c r="L110" s="4" t="s">
        <v>2942</v>
      </c>
      <c r="M110">
        <f t="shared" si="35"/>
        <v>11</v>
      </c>
      <c r="N110">
        <f t="shared" si="37"/>
        <v>23</v>
      </c>
      <c r="P110">
        <f t="shared" si="33"/>
        <v>4</v>
      </c>
      <c r="R110">
        <f t="shared" si="36"/>
        <v>22</v>
      </c>
      <c r="U110" s="33" t="str">
        <f t="shared" si="24"/>
        <v/>
      </c>
      <c r="AC110" s="4">
        <v>500</v>
      </c>
      <c r="AF110" s="4">
        <f t="shared" si="38"/>
        <v>0</v>
      </c>
      <c r="AL110" s="4">
        <f t="shared" si="29"/>
        <v>0</v>
      </c>
      <c r="AN110" s="4">
        <v>2800</v>
      </c>
      <c r="AW110" s="4">
        <v>5600</v>
      </c>
      <c r="BC110" s="4" t="s">
        <v>2942</v>
      </c>
      <c r="BD110" s="4" t="s">
        <v>2939</v>
      </c>
      <c r="BE110" s="4" t="s">
        <v>91</v>
      </c>
      <c r="BF110" s="4">
        <v>11</v>
      </c>
      <c r="BG110" s="4">
        <v>23</v>
      </c>
      <c r="BI110" s="4">
        <v>4</v>
      </c>
      <c r="BK110" s="4">
        <v>22</v>
      </c>
      <c r="BL110" s="4" t="s">
        <v>2943</v>
      </c>
      <c r="BM110" s="4" t="s">
        <v>2944</v>
      </c>
    </row>
    <row r="111" spans="4:65">
      <c r="D111" s="17" t="str">
        <f t="shared" si="34"/>
        <v>ErgänzungsfuttermittelKatzeVitamin-Spurenelement-Präparat</v>
      </c>
      <c r="E111" s="4" t="s">
        <v>91</v>
      </c>
      <c r="F111" s="19" t="s">
        <v>90</v>
      </c>
      <c r="G111" s="4" t="s">
        <v>2902</v>
      </c>
      <c r="L111" s="4" t="s">
        <v>3083</v>
      </c>
      <c r="M111">
        <f t="shared" si="35"/>
        <v>0.5</v>
      </c>
      <c r="N111">
        <f t="shared" si="37"/>
        <v>0.5</v>
      </c>
      <c r="P111">
        <f t="shared" si="33"/>
        <v>30</v>
      </c>
      <c r="R111">
        <f t="shared" si="36"/>
        <v>0</v>
      </c>
      <c r="U111" s="33" t="str">
        <f t="shared" si="24"/>
        <v/>
      </c>
      <c r="AF111" s="4">
        <f t="shared" si="38"/>
        <v>15000</v>
      </c>
      <c r="AG111" s="4">
        <v>50000</v>
      </c>
      <c r="AK111" s="4">
        <v>1000</v>
      </c>
      <c r="AL111" s="4">
        <f t="shared" si="29"/>
        <v>25</v>
      </c>
      <c r="AN111" s="4">
        <v>100</v>
      </c>
      <c r="AO111" s="4">
        <v>60</v>
      </c>
      <c r="AP111" s="4">
        <v>100</v>
      </c>
      <c r="AQ111" s="4">
        <v>25</v>
      </c>
      <c r="AR111" s="4">
        <v>100</v>
      </c>
      <c r="AT111" s="4">
        <v>400</v>
      </c>
      <c r="AU111" s="4">
        <v>100</v>
      </c>
      <c r="AV111" s="4">
        <v>1000</v>
      </c>
      <c r="AX111" s="4">
        <v>10</v>
      </c>
      <c r="BA111" s="4">
        <v>62.99</v>
      </c>
      <c r="BC111" s="4" t="s">
        <v>3083</v>
      </c>
      <c r="BD111" s="4" t="s">
        <v>703</v>
      </c>
      <c r="BE111" s="4" t="s">
        <v>91</v>
      </c>
      <c r="BF111" s="4">
        <v>0.5</v>
      </c>
      <c r="BG111" s="4">
        <v>0.5</v>
      </c>
      <c r="BI111" s="4">
        <v>30</v>
      </c>
      <c r="BL111" s="4" t="s">
        <v>3084</v>
      </c>
      <c r="BM111" s="4" t="s">
        <v>3085</v>
      </c>
    </row>
    <row r="112" spans="4:65">
      <c r="D112" s="17" t="str">
        <f t="shared" si="34"/>
        <v>ErgänzungsfuttermittelKatzeVitamin-Spurenelement-Präparat</v>
      </c>
      <c r="E112" s="4" t="s">
        <v>91</v>
      </c>
      <c r="F112" s="19" t="s">
        <v>90</v>
      </c>
      <c r="G112" s="4" t="s">
        <v>2902</v>
      </c>
      <c r="L112" s="4" t="s">
        <v>3112</v>
      </c>
      <c r="M112">
        <f t="shared" si="35"/>
        <v>1</v>
      </c>
      <c r="N112">
        <f t="shared" si="37"/>
        <v>3.4</v>
      </c>
      <c r="P112">
        <f t="shared" si="33"/>
        <v>3.5</v>
      </c>
      <c r="R112">
        <f t="shared" ref="R112:R115" si="39">BK112</f>
        <v>0.3</v>
      </c>
      <c r="U112" s="33" t="str">
        <f t="shared" si="24"/>
        <v/>
      </c>
      <c r="Z112" s="4">
        <v>3.5</v>
      </c>
      <c r="AB112" s="4">
        <v>1</v>
      </c>
      <c r="AC112" s="4">
        <v>0.3</v>
      </c>
      <c r="AF112" s="4">
        <f t="shared" si="38"/>
        <v>54</v>
      </c>
      <c r="AG112" s="4">
        <v>180</v>
      </c>
      <c r="AK112" s="4">
        <v>95</v>
      </c>
      <c r="AL112" s="4">
        <f t="shared" si="29"/>
        <v>2.375</v>
      </c>
      <c r="AZ112" s="4">
        <v>138</v>
      </c>
      <c r="BA112" s="4">
        <v>78.52</v>
      </c>
      <c r="BB112" s="4">
        <v>210</v>
      </c>
      <c r="BC112" s="4" t="s">
        <v>3113</v>
      </c>
      <c r="BD112" s="4" t="s">
        <v>100</v>
      </c>
      <c r="BE112" s="4" t="s">
        <v>91</v>
      </c>
      <c r="BF112" s="4">
        <v>1</v>
      </c>
      <c r="BG112" s="4">
        <v>3.4</v>
      </c>
      <c r="BI112" s="4">
        <v>3.5</v>
      </c>
      <c r="BK112" s="4">
        <v>0.3</v>
      </c>
      <c r="BL112" s="4" t="s">
        <v>3115</v>
      </c>
      <c r="BM112" s="4" t="s">
        <v>3114</v>
      </c>
    </row>
    <row r="113" spans="4:65">
      <c r="D113" s="17" t="str">
        <f t="shared" si="34"/>
        <v>ErgänzungsfuttermittelKatzeVitamin-Spurenelement-Präparat</v>
      </c>
      <c r="E113" s="4" t="s">
        <v>91</v>
      </c>
      <c r="F113" s="19" t="s">
        <v>90</v>
      </c>
      <c r="G113" s="4" t="s">
        <v>2902</v>
      </c>
      <c r="L113" s="4" t="s">
        <v>3180</v>
      </c>
      <c r="M113">
        <f t="shared" si="35"/>
        <v>1.2</v>
      </c>
      <c r="N113">
        <f t="shared" si="37"/>
        <v>8.5</v>
      </c>
      <c r="P113">
        <f t="shared" si="33"/>
        <v>7.5</v>
      </c>
      <c r="R113">
        <f t="shared" si="39"/>
        <v>1</v>
      </c>
      <c r="U113" s="33" t="str">
        <f t="shared" si="24"/>
        <v/>
      </c>
      <c r="V113" s="4">
        <v>10</v>
      </c>
      <c r="W113" s="4">
        <v>250</v>
      </c>
      <c r="X113" s="4">
        <v>100</v>
      </c>
      <c r="Z113" s="4">
        <v>1.8</v>
      </c>
      <c r="AB113" s="4">
        <v>1.5</v>
      </c>
      <c r="AC113" s="4">
        <v>0.3</v>
      </c>
      <c r="AE113" s="4">
        <v>22</v>
      </c>
      <c r="AF113" s="4">
        <f t="shared" si="38"/>
        <v>33</v>
      </c>
      <c r="AG113" s="4">
        <v>110</v>
      </c>
      <c r="AK113" s="4">
        <v>120</v>
      </c>
      <c r="AL113" s="4">
        <f t="shared" si="29"/>
        <v>3</v>
      </c>
      <c r="AN113" s="4">
        <v>35</v>
      </c>
      <c r="AO113" s="4">
        <v>0.5</v>
      </c>
      <c r="AP113" s="4">
        <v>0.7</v>
      </c>
      <c r="AQ113" s="4">
        <v>0.8</v>
      </c>
      <c r="AR113" s="4">
        <v>6</v>
      </c>
      <c r="AS113" s="4">
        <v>12</v>
      </c>
      <c r="AY113" s="4">
        <v>40</v>
      </c>
      <c r="AZ113" s="4">
        <v>6900</v>
      </c>
      <c r="BA113" s="4">
        <v>97.35</v>
      </c>
      <c r="BB113" s="4">
        <v>10</v>
      </c>
      <c r="BC113" s="4" t="s">
        <v>3180</v>
      </c>
      <c r="BD113" s="4" t="s">
        <v>100</v>
      </c>
      <c r="BE113" s="4" t="s">
        <v>91</v>
      </c>
      <c r="BF113" s="4">
        <v>1.2</v>
      </c>
      <c r="BG113" s="4">
        <v>8.5</v>
      </c>
      <c r="BI113" s="4">
        <v>7.5</v>
      </c>
      <c r="BK113" s="4">
        <v>1</v>
      </c>
      <c r="BL113" s="4" t="s">
        <v>3182</v>
      </c>
      <c r="BM113" s="4" t="s">
        <v>3181</v>
      </c>
    </row>
    <row r="114" spans="4:65">
      <c r="D114" s="17" t="str">
        <f t="shared" si="34"/>
        <v>ErgänzungsfuttermittelKatzeVitamin-Spurenelement-Präparat</v>
      </c>
      <c r="E114" s="4" t="s">
        <v>91</v>
      </c>
      <c r="F114" s="19" t="s">
        <v>90</v>
      </c>
      <c r="G114" s="4" t="s">
        <v>2902</v>
      </c>
      <c r="L114" s="4" t="s">
        <v>3186</v>
      </c>
      <c r="M114">
        <f t="shared" si="35"/>
        <v>1.7</v>
      </c>
      <c r="N114">
        <f t="shared" si="37"/>
        <v>3</v>
      </c>
      <c r="P114">
        <f t="shared" si="33"/>
        <v>3.5</v>
      </c>
      <c r="R114">
        <f t="shared" si="39"/>
        <v>0.4</v>
      </c>
      <c r="U114" s="33" t="str">
        <f t="shared" si="24"/>
        <v/>
      </c>
      <c r="Z114" s="4">
        <v>1.1499999999999999</v>
      </c>
      <c r="AB114" s="4">
        <v>0.7</v>
      </c>
      <c r="AC114" s="4">
        <v>10</v>
      </c>
      <c r="AF114" s="4">
        <f t="shared" si="38"/>
        <v>45</v>
      </c>
      <c r="AG114" s="4">
        <v>150</v>
      </c>
      <c r="AK114" s="4">
        <v>165</v>
      </c>
      <c r="AL114" s="4">
        <f t="shared" si="29"/>
        <v>4.125</v>
      </c>
      <c r="AN114" s="4">
        <v>50</v>
      </c>
      <c r="AO114" s="4">
        <v>0.5</v>
      </c>
      <c r="AP114" s="4">
        <v>0.75</v>
      </c>
      <c r="AQ114" s="4">
        <v>1.55</v>
      </c>
      <c r="AS114" s="4">
        <v>6</v>
      </c>
      <c r="AY114" s="4">
        <v>40</v>
      </c>
      <c r="AZ114" s="4">
        <v>138</v>
      </c>
      <c r="BA114" s="4">
        <v>97.3</v>
      </c>
      <c r="BB114" s="4">
        <v>10</v>
      </c>
      <c r="BC114" s="4" t="s">
        <v>3186</v>
      </c>
      <c r="BD114" s="4" t="s">
        <v>100</v>
      </c>
      <c r="BE114" s="4" t="s">
        <v>91</v>
      </c>
      <c r="BF114" s="4">
        <v>1.7</v>
      </c>
      <c r="BG114" s="4">
        <v>3</v>
      </c>
      <c r="BI114" s="4">
        <v>3.5</v>
      </c>
      <c r="BK114" s="4">
        <v>0.4</v>
      </c>
      <c r="BL114" s="4" t="s">
        <v>3187</v>
      </c>
      <c r="BM114" s="31" t="s">
        <v>3188</v>
      </c>
    </row>
    <row r="115" spans="4:65">
      <c r="D115" s="17" t="str">
        <f t="shared" si="34"/>
        <v>ErgänzungsfuttermittelKatzeVitamin-Spurenelement-Präparat</v>
      </c>
      <c r="E115" s="4" t="s">
        <v>91</v>
      </c>
      <c r="F115" s="19" t="s">
        <v>90</v>
      </c>
      <c r="G115" s="4" t="s">
        <v>2902</v>
      </c>
      <c r="L115" s="4" t="s">
        <v>3192</v>
      </c>
      <c r="M115">
        <f t="shared" si="35"/>
        <v>6.5</v>
      </c>
      <c r="N115">
        <f t="shared" si="37"/>
        <v>7.8</v>
      </c>
      <c r="P115">
        <f t="shared" si="33"/>
        <v>8.1999999999999993</v>
      </c>
      <c r="R115">
        <f t="shared" si="39"/>
        <v>0</v>
      </c>
      <c r="U115" s="33" t="str">
        <f t="shared" si="24"/>
        <v/>
      </c>
      <c r="AC115" s="4">
        <v>15</v>
      </c>
      <c r="AE115" s="4">
        <v>1000</v>
      </c>
      <c r="AF115" s="4">
        <f t="shared" si="38"/>
        <v>0</v>
      </c>
      <c r="AL115" s="4">
        <f t="shared" si="29"/>
        <v>0</v>
      </c>
      <c r="AN115" s="4">
        <v>1000</v>
      </c>
      <c r="BA115" s="4">
        <v>261.33</v>
      </c>
      <c r="BB115" s="4">
        <v>1.5</v>
      </c>
      <c r="BC115" s="4" t="s">
        <v>3192</v>
      </c>
      <c r="BD115" s="4" t="s">
        <v>100</v>
      </c>
      <c r="BE115" s="4" t="s">
        <v>91</v>
      </c>
      <c r="BF115" s="4">
        <v>6.5</v>
      </c>
      <c r="BG115" s="4">
        <v>7.8</v>
      </c>
      <c r="BI115" s="4">
        <v>8.1999999999999993</v>
      </c>
      <c r="BK115" s="4">
        <v>0</v>
      </c>
      <c r="BL115" s="4" t="s">
        <v>3194</v>
      </c>
      <c r="BM115" s="31" t="s">
        <v>3193</v>
      </c>
    </row>
    <row r="116" spans="4:65">
      <c r="D116" s="17"/>
      <c r="F116" s="19"/>
      <c r="U116" s="33" t="str">
        <f t="shared" si="24"/>
        <v/>
      </c>
      <c r="AF116" s="4">
        <f t="shared" si="38"/>
        <v>0</v>
      </c>
      <c r="AL116" s="4">
        <f t="shared" si="29"/>
        <v>0</v>
      </c>
    </row>
    <row r="117" spans="4:65">
      <c r="D117" s="17" t="str">
        <f t="shared" ref="D117:D125" si="40">E117&amp;""&amp;F117&amp;""&amp;G117&amp;""&amp;H117</f>
        <v>ErgänzungsfuttermittelKatzeMineralfuttermittel</v>
      </c>
      <c r="E117" s="4" t="s">
        <v>91</v>
      </c>
      <c r="F117" s="19" t="s">
        <v>90</v>
      </c>
      <c r="G117" s="4" t="s">
        <v>501</v>
      </c>
      <c r="L117" s="4" t="s">
        <v>1805</v>
      </c>
      <c r="M117">
        <f t="shared" ref="M117:M125" si="41">BF117</f>
        <v>0</v>
      </c>
      <c r="N117">
        <f t="shared" ref="N117:N125" si="42">BG117</f>
        <v>0</v>
      </c>
      <c r="P117">
        <f t="shared" ref="P117:P125" si="43">BI117</f>
        <v>0</v>
      </c>
      <c r="R117">
        <f t="shared" ref="R117:R125" si="44">BK117</f>
        <v>0</v>
      </c>
      <c r="S117" s="4">
        <v>35700</v>
      </c>
      <c r="T117" s="4">
        <v>180</v>
      </c>
      <c r="U117" s="33">
        <f t="shared" si="24"/>
        <v>198.33333333333334</v>
      </c>
      <c r="AF117" s="4">
        <f>AG117*$BO$13</f>
        <v>0</v>
      </c>
      <c r="AL117" s="4">
        <f t="shared" si="29"/>
        <v>0</v>
      </c>
      <c r="BA117" s="4">
        <v>12.74</v>
      </c>
      <c r="BC117" s="4" t="s">
        <v>1805</v>
      </c>
      <c r="BD117" s="4" t="s">
        <v>1769</v>
      </c>
      <c r="BE117" s="4" t="s">
        <v>91</v>
      </c>
      <c r="BL117" s="4" t="s">
        <v>1807</v>
      </c>
      <c r="BM117" s="4" t="s">
        <v>1806</v>
      </c>
    </row>
    <row r="118" spans="4:65">
      <c r="D118" s="17" t="str">
        <f t="shared" si="40"/>
        <v>ErgänzungsfuttermittelKatzeMineralfuttermittel</v>
      </c>
      <c r="E118" s="4" t="s">
        <v>91</v>
      </c>
      <c r="F118" s="19" t="s">
        <v>90</v>
      </c>
      <c r="G118" s="4" t="s">
        <v>501</v>
      </c>
      <c r="L118" s="4" t="s">
        <v>1615</v>
      </c>
      <c r="M118">
        <f t="shared" si="41"/>
        <v>9.1999999999999993</v>
      </c>
      <c r="N118">
        <f t="shared" si="42"/>
        <v>55.4</v>
      </c>
      <c r="P118">
        <f t="shared" si="43"/>
        <v>3.7</v>
      </c>
      <c r="R118">
        <f t="shared" si="44"/>
        <v>0.7</v>
      </c>
      <c r="T118" s="4">
        <v>620</v>
      </c>
      <c r="U118" s="33" t="str">
        <f t="shared" si="24"/>
        <v/>
      </c>
      <c r="Z118" s="4">
        <v>37.5</v>
      </c>
      <c r="AD118" s="4">
        <v>60000</v>
      </c>
      <c r="AF118" s="4">
        <f>AG118*$BO$13</f>
        <v>0</v>
      </c>
      <c r="AL118" s="4">
        <f t="shared" si="29"/>
        <v>0</v>
      </c>
      <c r="AZ118" s="4">
        <v>10000</v>
      </c>
      <c r="BA118" s="4">
        <v>57.96</v>
      </c>
      <c r="BC118" s="4" t="s">
        <v>1615</v>
      </c>
      <c r="BD118" s="4" t="s">
        <v>424</v>
      </c>
      <c r="BE118" s="4" t="s">
        <v>91</v>
      </c>
      <c r="BF118" s="4">
        <v>9.1999999999999993</v>
      </c>
      <c r="BG118" s="4">
        <v>55.4</v>
      </c>
      <c r="BI118" s="4">
        <v>3.7</v>
      </c>
      <c r="BK118" s="4">
        <v>0.7</v>
      </c>
      <c r="BL118" s="4" t="s">
        <v>1617</v>
      </c>
      <c r="BM118" s="4" t="s">
        <v>1616</v>
      </c>
    </row>
    <row r="119" spans="4:65">
      <c r="D119" s="17" t="str">
        <f t="shared" si="40"/>
        <v>ErgänzungsfuttermittelKatzeMineralfuttermittel</v>
      </c>
      <c r="E119" s="4" t="s">
        <v>91</v>
      </c>
      <c r="F119" s="19" t="s">
        <v>90</v>
      </c>
      <c r="G119" s="4" t="s">
        <v>501</v>
      </c>
      <c r="L119" s="4" t="s">
        <v>1038</v>
      </c>
      <c r="M119">
        <f t="shared" si="41"/>
        <v>0</v>
      </c>
      <c r="N119">
        <f t="shared" si="42"/>
        <v>0</v>
      </c>
      <c r="P119">
        <f t="shared" si="43"/>
        <v>0</v>
      </c>
      <c r="R119">
        <f t="shared" si="44"/>
        <v>0</v>
      </c>
      <c r="U119" s="33" t="str">
        <f t="shared" si="24"/>
        <v/>
      </c>
      <c r="AF119" s="4">
        <f>AG119*$BO$13</f>
        <v>0</v>
      </c>
      <c r="AL119" s="4">
        <f t="shared" si="29"/>
        <v>0</v>
      </c>
      <c r="BA119" s="4">
        <v>47.6</v>
      </c>
      <c r="BB119" s="4">
        <v>1.5</v>
      </c>
      <c r="BC119" s="4" t="s">
        <v>1498</v>
      </c>
      <c r="BD119" s="4" t="s">
        <v>1415</v>
      </c>
      <c r="BE119" s="4" t="s">
        <v>91</v>
      </c>
      <c r="BI119" s="4">
        <v>0</v>
      </c>
      <c r="BK119" s="4">
        <v>0</v>
      </c>
      <c r="BL119" s="4" t="s">
        <v>1499</v>
      </c>
      <c r="BM119" s="4" t="s">
        <v>1497</v>
      </c>
    </row>
    <row r="120" spans="4:65" s="27" customFormat="1">
      <c r="D120" s="34" t="str">
        <f t="shared" si="40"/>
        <v>ErgänzungsfuttermittelKatzeMineralfuttermittel</v>
      </c>
      <c r="E120" s="27" t="s">
        <v>91</v>
      </c>
      <c r="F120" s="35" t="s">
        <v>90</v>
      </c>
      <c r="G120" s="27" t="s">
        <v>501</v>
      </c>
      <c r="L120" s="27" t="s">
        <v>1341</v>
      </c>
      <c r="M120" s="28">
        <f t="shared" si="41"/>
        <v>11.9</v>
      </c>
      <c r="N120" s="28">
        <f t="shared" si="42"/>
        <v>11</v>
      </c>
      <c r="P120" s="28">
        <f t="shared" si="43"/>
        <v>0.1</v>
      </c>
      <c r="R120" s="28">
        <f t="shared" si="44"/>
        <v>11.8</v>
      </c>
      <c r="U120" s="36" t="str">
        <f t="shared" si="24"/>
        <v/>
      </c>
      <c r="W120" s="27">
        <v>10000</v>
      </c>
      <c r="AF120" s="27">
        <v>806</v>
      </c>
      <c r="AL120" s="27">
        <f t="shared" si="29"/>
        <v>0</v>
      </c>
      <c r="BB120" s="27">
        <v>0.25</v>
      </c>
      <c r="BC120" s="27" t="s">
        <v>1341</v>
      </c>
      <c r="BD120" s="27" t="s">
        <v>1285</v>
      </c>
      <c r="BE120" s="27" t="s">
        <v>91</v>
      </c>
      <c r="BF120" s="27">
        <v>11.9</v>
      </c>
      <c r="BG120" s="27">
        <v>11</v>
      </c>
      <c r="BI120" s="27">
        <v>0.1</v>
      </c>
      <c r="BK120" s="27">
        <v>11.8</v>
      </c>
      <c r="BL120" s="27" t="s">
        <v>1343</v>
      </c>
      <c r="BM120" s="27" t="s">
        <v>1342</v>
      </c>
    </row>
    <row r="121" spans="4:65">
      <c r="D121" s="17" t="str">
        <f t="shared" si="40"/>
        <v>ErgänzungsfuttermittelKatzeMineralfuttermittel</v>
      </c>
      <c r="E121" s="4" t="s">
        <v>91</v>
      </c>
      <c r="F121" s="19" t="s">
        <v>90</v>
      </c>
      <c r="G121" s="4" t="s">
        <v>501</v>
      </c>
      <c r="L121" s="4" t="s">
        <v>374</v>
      </c>
      <c r="M121">
        <f t="shared" si="41"/>
        <v>48.6</v>
      </c>
      <c r="N121">
        <f t="shared" si="42"/>
        <v>7.8</v>
      </c>
      <c r="P121">
        <f t="shared" si="43"/>
        <v>11.8</v>
      </c>
      <c r="R121">
        <f t="shared" si="44"/>
        <v>9.5</v>
      </c>
      <c r="U121" s="33" t="str">
        <f t="shared" si="24"/>
        <v/>
      </c>
      <c r="AF121" s="4">
        <f>AG121*$BO$13</f>
        <v>0</v>
      </c>
      <c r="AL121" s="4">
        <f t="shared" si="29"/>
        <v>0</v>
      </c>
      <c r="BA121" s="4">
        <v>106</v>
      </c>
      <c r="BC121" s="4" t="s">
        <v>374</v>
      </c>
      <c r="BD121" s="4" t="s">
        <v>371</v>
      </c>
      <c r="BE121" s="4" t="s">
        <v>91</v>
      </c>
      <c r="BF121" s="4">
        <v>48.6</v>
      </c>
      <c r="BG121" s="4">
        <v>7.8</v>
      </c>
      <c r="BI121" s="4">
        <v>11.8</v>
      </c>
      <c r="BK121" s="4">
        <v>9.5</v>
      </c>
      <c r="BL121" s="4" t="s">
        <v>376</v>
      </c>
      <c r="BM121" s="4" t="s">
        <v>375</v>
      </c>
    </row>
    <row r="122" spans="4:65">
      <c r="D122" s="17" t="str">
        <f t="shared" si="40"/>
        <v>ErgänzungsfuttermittelKatzeMineralfuttermittel</v>
      </c>
      <c r="E122" s="4" t="s">
        <v>91</v>
      </c>
      <c r="F122" s="19" t="s">
        <v>90</v>
      </c>
      <c r="G122" s="4" t="s">
        <v>501</v>
      </c>
      <c r="L122" s="4" t="s">
        <v>1216</v>
      </c>
      <c r="M122">
        <f t="shared" si="41"/>
        <v>69</v>
      </c>
      <c r="N122">
        <f t="shared" si="42"/>
        <v>7.5</v>
      </c>
      <c r="P122">
        <f t="shared" si="43"/>
        <v>1</v>
      </c>
      <c r="R122">
        <f t="shared" si="44"/>
        <v>4</v>
      </c>
      <c r="S122" s="4">
        <v>27000</v>
      </c>
      <c r="T122" s="4">
        <v>250</v>
      </c>
      <c r="U122" s="33">
        <f t="shared" si="24"/>
        <v>108</v>
      </c>
      <c r="X122" s="4">
        <v>500</v>
      </c>
      <c r="AF122" s="4">
        <f>AG122*$BO$13</f>
        <v>0</v>
      </c>
      <c r="AL122" s="4">
        <f t="shared" si="29"/>
        <v>0</v>
      </c>
      <c r="BA122" s="4">
        <v>28.59</v>
      </c>
      <c r="BB122" s="4">
        <v>0.8</v>
      </c>
      <c r="BC122" s="4" t="s">
        <v>1218</v>
      </c>
      <c r="BD122" s="4" t="s">
        <v>1217</v>
      </c>
      <c r="BE122" s="4" t="s">
        <v>91</v>
      </c>
      <c r="BF122" s="4">
        <v>69</v>
      </c>
      <c r="BG122" s="4">
        <v>7.5</v>
      </c>
      <c r="BI122" s="4">
        <v>1</v>
      </c>
      <c r="BK122" s="4">
        <v>4</v>
      </c>
      <c r="BL122" s="4" t="s">
        <v>1220</v>
      </c>
      <c r="BM122" s="4" t="s">
        <v>1219</v>
      </c>
    </row>
    <row r="123" spans="4:65">
      <c r="D123" s="17" t="str">
        <f t="shared" si="40"/>
        <v>ErgänzungsfuttermittelKatzeMineralfuttermittel</v>
      </c>
      <c r="E123" s="4" t="s">
        <v>91</v>
      </c>
      <c r="F123" s="19" t="s">
        <v>90</v>
      </c>
      <c r="G123" s="4" t="s">
        <v>501</v>
      </c>
      <c r="L123" s="4" t="s">
        <v>787</v>
      </c>
      <c r="M123">
        <f t="shared" si="41"/>
        <v>70.5</v>
      </c>
      <c r="N123">
        <f t="shared" si="42"/>
        <v>1</v>
      </c>
      <c r="P123">
        <f t="shared" si="43"/>
        <v>1</v>
      </c>
      <c r="R123">
        <f t="shared" si="44"/>
        <v>0.3</v>
      </c>
      <c r="S123" s="4">
        <v>21500</v>
      </c>
      <c r="T123" s="4">
        <v>2580</v>
      </c>
      <c r="U123" s="33">
        <f t="shared" si="24"/>
        <v>8.3333333333333339</v>
      </c>
      <c r="X123" s="4">
        <v>3380</v>
      </c>
      <c r="AA123" s="4">
        <v>15.5</v>
      </c>
      <c r="AB123" s="4">
        <v>80</v>
      </c>
      <c r="AC123" s="4">
        <v>18.600000000000001</v>
      </c>
      <c r="AD123" s="4">
        <v>1240</v>
      </c>
      <c r="AE123" s="4">
        <v>360</v>
      </c>
      <c r="AF123" s="4">
        <f t="shared" ref="AF123:AF126" si="45">AG123*$BO$13</f>
        <v>0</v>
      </c>
      <c r="AL123" s="4">
        <f t="shared" si="29"/>
        <v>0</v>
      </c>
      <c r="BA123" s="4">
        <v>63.83</v>
      </c>
      <c r="BC123" s="4" t="s">
        <v>789</v>
      </c>
      <c r="BD123" s="4" t="s">
        <v>703</v>
      </c>
      <c r="BE123" s="4" t="s">
        <v>91</v>
      </c>
      <c r="BF123" s="4">
        <v>70.5</v>
      </c>
      <c r="BG123" s="4">
        <v>1</v>
      </c>
      <c r="BI123" s="4">
        <v>1</v>
      </c>
      <c r="BK123" s="4">
        <v>0.3</v>
      </c>
      <c r="BL123" s="4" t="s">
        <v>790</v>
      </c>
      <c r="BM123" s="4" t="s">
        <v>788</v>
      </c>
    </row>
    <row r="124" spans="4:65">
      <c r="D124" s="17" t="str">
        <f t="shared" si="40"/>
        <v>ErgänzungsfuttermittelKatzeMineralfuttermittel</v>
      </c>
      <c r="E124" s="4" t="s">
        <v>91</v>
      </c>
      <c r="F124" s="19" t="s">
        <v>90</v>
      </c>
      <c r="G124" s="4" t="s">
        <v>501</v>
      </c>
      <c r="L124" s="4" t="s">
        <v>2948</v>
      </c>
      <c r="M124">
        <f t="shared" si="41"/>
        <v>43.8</v>
      </c>
      <c r="N124">
        <f t="shared" si="42"/>
        <v>4.0999999999999996</v>
      </c>
      <c r="P124">
        <f t="shared" si="43"/>
        <v>14.6</v>
      </c>
      <c r="R124">
        <f t="shared" si="44"/>
        <v>2.8</v>
      </c>
      <c r="S124" s="4">
        <v>1010</v>
      </c>
      <c r="T124" s="4">
        <v>70</v>
      </c>
      <c r="U124" s="33">
        <f t="shared" si="24"/>
        <v>14.428571428571429</v>
      </c>
      <c r="X124" s="4">
        <v>700</v>
      </c>
      <c r="AF124" s="4">
        <f t="shared" si="45"/>
        <v>0</v>
      </c>
      <c r="AL124" s="4">
        <f t="shared" si="29"/>
        <v>0</v>
      </c>
      <c r="BA124" s="4">
        <v>759.49</v>
      </c>
      <c r="BB124" s="4">
        <v>0.75</v>
      </c>
      <c r="BC124" s="4" t="s">
        <v>2948</v>
      </c>
      <c r="BD124" s="4" t="s">
        <v>956</v>
      </c>
      <c r="BE124" s="4" t="s">
        <v>91</v>
      </c>
      <c r="BF124" s="4">
        <v>43.8</v>
      </c>
      <c r="BG124" s="4">
        <v>4.0999999999999996</v>
      </c>
      <c r="BI124" s="4">
        <v>14.6</v>
      </c>
      <c r="BK124" s="4">
        <v>2.8</v>
      </c>
      <c r="BL124" s="4" t="s">
        <v>2950</v>
      </c>
      <c r="BM124" s="4" t="s">
        <v>2949</v>
      </c>
    </row>
    <row r="125" spans="4:65">
      <c r="D125" s="17" t="str">
        <f t="shared" si="40"/>
        <v>ErgänzungsfuttermittelKatzeMineralfuttermittel</v>
      </c>
      <c r="E125" s="4" t="s">
        <v>91</v>
      </c>
      <c r="F125" s="19" t="s">
        <v>90</v>
      </c>
      <c r="G125" s="4" t="s">
        <v>501</v>
      </c>
      <c r="L125" s="4" t="s">
        <v>2982</v>
      </c>
      <c r="M125">
        <f t="shared" si="41"/>
        <v>50.8</v>
      </c>
      <c r="N125">
        <f t="shared" si="42"/>
        <v>12.9</v>
      </c>
      <c r="P125">
        <f t="shared" si="43"/>
        <v>1.7</v>
      </c>
      <c r="R125">
        <f t="shared" si="44"/>
        <v>10.7</v>
      </c>
      <c r="S125" s="4">
        <v>5460</v>
      </c>
      <c r="T125" s="4">
        <v>240</v>
      </c>
      <c r="U125" s="33">
        <f t="shared" si="24"/>
        <v>22.75</v>
      </c>
      <c r="V125" s="4">
        <v>540</v>
      </c>
      <c r="X125" s="4">
        <v>160</v>
      </c>
      <c r="AF125" s="4">
        <f t="shared" si="45"/>
        <v>0</v>
      </c>
      <c r="AL125" s="4">
        <f t="shared" si="29"/>
        <v>0</v>
      </c>
      <c r="BA125" s="4">
        <v>214.83</v>
      </c>
      <c r="BB125" s="4">
        <v>0.75</v>
      </c>
      <c r="BC125" s="4" t="s">
        <v>2982</v>
      </c>
      <c r="BD125" s="4" t="s">
        <v>956</v>
      </c>
      <c r="BE125" s="4" t="s">
        <v>91</v>
      </c>
      <c r="BF125" s="4">
        <v>50.8</v>
      </c>
      <c r="BG125" s="4">
        <v>12.9</v>
      </c>
      <c r="BI125" s="4">
        <v>1.7</v>
      </c>
      <c r="BK125" s="4">
        <v>10.7</v>
      </c>
      <c r="BL125" s="4" t="s">
        <v>2984</v>
      </c>
      <c r="BM125" s="4" t="s">
        <v>2983</v>
      </c>
    </row>
    <row r="126" spans="4:65">
      <c r="D126" s="17"/>
      <c r="F126" s="19"/>
      <c r="U126" s="33" t="str">
        <f t="shared" si="24"/>
        <v/>
      </c>
      <c r="AF126" s="4">
        <f t="shared" si="45"/>
        <v>0</v>
      </c>
      <c r="AL126" s="4">
        <f t="shared" si="29"/>
        <v>0</v>
      </c>
    </row>
    <row r="127" spans="4:65">
      <c r="D127" s="17" t="str">
        <f t="shared" ref="D127:D144" si="46">E127&amp;""&amp;F127&amp;""&amp;G127&amp;""&amp;H127</f>
        <v>ErgänzungsfuttermittelKatzeVitaminiertes Mineralfutter</v>
      </c>
      <c r="E127" s="4" t="s">
        <v>91</v>
      </c>
      <c r="F127" s="19" t="s">
        <v>90</v>
      </c>
      <c r="G127" s="4" t="s">
        <v>174</v>
      </c>
      <c r="L127" s="4" t="s">
        <v>767</v>
      </c>
      <c r="M127">
        <f t="shared" ref="M127:M144" si="47">BF127</f>
        <v>48</v>
      </c>
      <c r="N127">
        <f t="shared" ref="N127:N144" si="48">BG127</f>
        <v>18.5</v>
      </c>
      <c r="P127">
        <f t="shared" ref="P127:P137" si="49">BI127</f>
        <v>1.2</v>
      </c>
      <c r="R127">
        <f t="shared" ref="R127:R144" si="50">BK127</f>
        <v>0.6</v>
      </c>
      <c r="S127" s="4">
        <v>12000</v>
      </c>
      <c r="T127" s="4">
        <v>5700</v>
      </c>
      <c r="U127" s="33">
        <f t="shared" si="24"/>
        <v>2.1052631578947367</v>
      </c>
      <c r="X127" s="4">
        <v>2800</v>
      </c>
      <c r="AA127" s="4">
        <v>9.1</v>
      </c>
      <c r="AF127" s="4">
        <f t="shared" ref="AF127:AF134" si="51">AG127*$BO$13</f>
        <v>9600</v>
      </c>
      <c r="AG127" s="4">
        <v>32000</v>
      </c>
      <c r="AK127" s="4">
        <v>700</v>
      </c>
      <c r="AL127" s="4">
        <f t="shared" si="29"/>
        <v>17.5</v>
      </c>
      <c r="AN127" s="4">
        <v>18</v>
      </c>
      <c r="BA127" s="4">
        <v>90.53</v>
      </c>
      <c r="BB127" s="4">
        <v>4.5</v>
      </c>
      <c r="BC127" s="4" t="s">
        <v>767</v>
      </c>
      <c r="BD127" s="4" t="s">
        <v>703</v>
      </c>
      <c r="BE127" s="4" t="s">
        <v>91</v>
      </c>
      <c r="BF127" s="4">
        <v>48</v>
      </c>
      <c r="BG127" s="4">
        <v>18.5</v>
      </c>
      <c r="BI127" s="4">
        <v>1.2</v>
      </c>
      <c r="BK127" s="4">
        <v>0.6</v>
      </c>
      <c r="BL127" s="4" t="s">
        <v>769</v>
      </c>
      <c r="BM127" s="4" t="s">
        <v>768</v>
      </c>
    </row>
    <row r="128" spans="4:65">
      <c r="D128" s="17" t="str">
        <f t="shared" si="46"/>
        <v>ErgänzungsfuttermittelKatzeVitaminiertes Mineralfutter</v>
      </c>
      <c r="E128" s="4" t="s">
        <v>91</v>
      </c>
      <c r="F128" s="19" t="s">
        <v>90</v>
      </c>
      <c r="G128" s="4" t="s">
        <v>174</v>
      </c>
      <c r="L128" s="4" t="s">
        <v>770</v>
      </c>
      <c r="M128">
        <f t="shared" si="47"/>
        <v>48</v>
      </c>
      <c r="N128">
        <f t="shared" si="48"/>
        <v>0</v>
      </c>
      <c r="P128">
        <f t="shared" si="49"/>
        <v>0</v>
      </c>
      <c r="R128">
        <f t="shared" si="50"/>
        <v>0</v>
      </c>
      <c r="S128" s="4">
        <v>1200</v>
      </c>
      <c r="T128" s="4">
        <v>5700</v>
      </c>
      <c r="U128" s="33">
        <f t="shared" si="24"/>
        <v>0.21052631578947367</v>
      </c>
      <c r="X128" s="4">
        <v>2800</v>
      </c>
      <c r="AA128" s="4">
        <v>9.1</v>
      </c>
      <c r="AF128" s="4">
        <f t="shared" si="51"/>
        <v>960</v>
      </c>
      <c r="AG128" s="4">
        <v>3200</v>
      </c>
      <c r="AK128" s="4">
        <v>700</v>
      </c>
      <c r="AL128" s="4">
        <f t="shared" si="29"/>
        <v>17.5</v>
      </c>
      <c r="AN128" s="4">
        <v>18</v>
      </c>
      <c r="BC128" s="4" t="s">
        <v>770</v>
      </c>
      <c r="BD128" s="4" t="s">
        <v>703</v>
      </c>
      <c r="BE128" s="4" t="s">
        <v>91</v>
      </c>
      <c r="BF128" s="4">
        <v>48</v>
      </c>
      <c r="BL128" s="4" t="s">
        <v>769</v>
      </c>
      <c r="BM128" s="4" t="s">
        <v>771</v>
      </c>
    </row>
    <row r="129" spans="4:65">
      <c r="D129" s="17" t="str">
        <f t="shared" si="46"/>
        <v>ErgänzungsfuttermittelKatzeVitaminiertes Mineralfutter</v>
      </c>
      <c r="E129" s="4" t="s">
        <v>91</v>
      </c>
      <c r="F129" s="19" t="s">
        <v>90</v>
      </c>
      <c r="G129" s="4" t="s">
        <v>174</v>
      </c>
      <c r="L129" s="4" t="s">
        <v>427</v>
      </c>
      <c r="M129">
        <f t="shared" si="47"/>
        <v>92</v>
      </c>
      <c r="N129">
        <f t="shared" si="48"/>
        <v>5.9</v>
      </c>
      <c r="P129">
        <f t="shared" si="49"/>
        <v>1</v>
      </c>
      <c r="R129">
        <f t="shared" si="50"/>
        <v>0.5</v>
      </c>
      <c r="S129" s="4">
        <v>19000</v>
      </c>
      <c r="T129" s="4">
        <v>3300</v>
      </c>
      <c r="U129" s="33">
        <f t="shared" si="24"/>
        <v>5.7575757575757578</v>
      </c>
      <c r="V129" s="4">
        <v>900</v>
      </c>
      <c r="X129" s="4">
        <v>12300</v>
      </c>
      <c r="Z129" s="4">
        <v>232.9</v>
      </c>
      <c r="AA129" s="4">
        <v>15.6</v>
      </c>
      <c r="AB129" s="4">
        <v>89.9</v>
      </c>
      <c r="AC129" s="4">
        <v>21.8</v>
      </c>
      <c r="AD129" s="4">
        <v>4300</v>
      </c>
      <c r="AF129" s="4">
        <f t="shared" si="51"/>
        <v>7005.48</v>
      </c>
      <c r="AG129" s="4">
        <v>23351.599999999999</v>
      </c>
      <c r="AK129" s="4">
        <v>2335.1999999999998</v>
      </c>
      <c r="AL129" s="4">
        <f t="shared" si="29"/>
        <v>58.379999999999995</v>
      </c>
      <c r="AN129" s="4">
        <v>526.20000000000005</v>
      </c>
      <c r="AO129" s="4">
        <v>36.4</v>
      </c>
      <c r="AP129" s="4">
        <v>28.2</v>
      </c>
      <c r="AQ129" s="4">
        <v>25.2</v>
      </c>
      <c r="AR129" s="4">
        <v>235.2</v>
      </c>
      <c r="AS129" s="4">
        <v>933.3</v>
      </c>
      <c r="AT129" s="4">
        <v>252.7</v>
      </c>
      <c r="AU129" s="4">
        <v>69.5</v>
      </c>
      <c r="AV129" s="4">
        <v>6400</v>
      </c>
      <c r="AZ129" s="4">
        <v>7764</v>
      </c>
      <c r="BA129" s="4">
        <v>110</v>
      </c>
      <c r="BC129" s="4" t="s">
        <v>427</v>
      </c>
      <c r="BD129" s="4" t="s">
        <v>424</v>
      </c>
      <c r="BE129" s="4" t="s">
        <v>91</v>
      </c>
      <c r="BF129" s="4">
        <v>92</v>
      </c>
      <c r="BG129" s="4">
        <v>5.9</v>
      </c>
      <c r="BI129" s="4">
        <v>1</v>
      </c>
      <c r="BK129" s="4">
        <v>0.5</v>
      </c>
      <c r="BL129" s="4" t="s">
        <v>429</v>
      </c>
      <c r="BM129" s="4" t="s">
        <v>428</v>
      </c>
    </row>
    <row r="130" spans="4:65">
      <c r="D130" s="17" t="str">
        <f t="shared" si="46"/>
        <v>ErgänzungsfuttermittelKatzeVitaminiertes Mineralfutter</v>
      </c>
      <c r="E130" s="4" t="s">
        <v>91</v>
      </c>
      <c r="F130" s="19" t="s">
        <v>90</v>
      </c>
      <c r="G130" s="4" t="s">
        <v>174</v>
      </c>
      <c r="L130" s="4" t="s">
        <v>433</v>
      </c>
      <c r="M130">
        <f t="shared" si="47"/>
        <v>76</v>
      </c>
      <c r="N130">
        <f t="shared" si="48"/>
        <v>9</v>
      </c>
      <c r="P130">
        <f t="shared" si="49"/>
        <v>0.7</v>
      </c>
      <c r="R130">
        <f t="shared" si="50"/>
        <v>0</v>
      </c>
      <c r="S130" s="4">
        <v>23500</v>
      </c>
      <c r="T130" s="4">
        <v>0</v>
      </c>
      <c r="U130" s="33" t="e">
        <f t="shared" si="24"/>
        <v>#DIV/0!</v>
      </c>
      <c r="V130" s="4">
        <v>800</v>
      </c>
      <c r="X130" s="4">
        <v>8950</v>
      </c>
      <c r="Z130" s="4">
        <v>270</v>
      </c>
      <c r="AA130" s="4">
        <v>18</v>
      </c>
      <c r="AB130" s="4">
        <v>110</v>
      </c>
      <c r="AC130" s="4">
        <v>30</v>
      </c>
      <c r="AD130" s="4">
        <v>3200</v>
      </c>
      <c r="AF130" s="4">
        <f t="shared" si="51"/>
        <v>27000</v>
      </c>
      <c r="AG130" s="4">
        <v>90000</v>
      </c>
      <c r="AK130" s="4">
        <v>2500</v>
      </c>
      <c r="AL130" s="4">
        <f t="shared" si="29"/>
        <v>62.5</v>
      </c>
      <c r="AN130" s="4">
        <v>676</v>
      </c>
      <c r="AO130" s="4">
        <v>38</v>
      </c>
      <c r="AP130" s="4">
        <v>30</v>
      </c>
      <c r="AQ130" s="4">
        <v>23</v>
      </c>
      <c r="AR130" s="4">
        <v>135</v>
      </c>
      <c r="AT130" s="4">
        <v>150</v>
      </c>
      <c r="AU130" s="4">
        <v>60</v>
      </c>
      <c r="AV130" s="4">
        <v>6000</v>
      </c>
      <c r="AZ130" s="4">
        <v>13000</v>
      </c>
      <c r="BA130" s="4">
        <v>109.96</v>
      </c>
      <c r="BB130" s="4">
        <v>0.8</v>
      </c>
      <c r="BC130" s="4" t="s">
        <v>433</v>
      </c>
      <c r="BD130" s="4" t="s">
        <v>421</v>
      </c>
      <c r="BE130" s="4" t="s">
        <v>91</v>
      </c>
      <c r="BF130" s="4">
        <v>76</v>
      </c>
      <c r="BG130" s="4">
        <v>9</v>
      </c>
      <c r="BI130" s="4">
        <v>0.7</v>
      </c>
      <c r="BK130" s="4">
        <v>0</v>
      </c>
      <c r="BM130" s="4" t="s">
        <v>434</v>
      </c>
    </row>
    <row r="131" spans="4:65">
      <c r="D131" s="17" t="str">
        <f t="shared" si="46"/>
        <v>ErgänzungsfuttermittelKatzeVitaminiertes Mineralfutter</v>
      </c>
      <c r="E131" s="4" t="s">
        <v>91</v>
      </c>
      <c r="F131" s="19" t="s">
        <v>90</v>
      </c>
      <c r="G131" s="4" t="s">
        <v>174</v>
      </c>
      <c r="L131" s="4" t="s">
        <v>420</v>
      </c>
      <c r="M131">
        <f t="shared" si="47"/>
        <v>84.66</v>
      </c>
      <c r="N131">
        <f t="shared" si="48"/>
        <v>6.89</v>
      </c>
      <c r="P131">
        <f t="shared" si="49"/>
        <v>0.59</v>
      </c>
      <c r="R131">
        <f t="shared" si="50"/>
        <v>0</v>
      </c>
      <c r="S131" s="4">
        <v>19300</v>
      </c>
      <c r="T131" s="4">
        <v>3000</v>
      </c>
      <c r="U131" s="33">
        <f t="shared" si="24"/>
        <v>6.4333333333333336</v>
      </c>
      <c r="V131" s="4">
        <v>800</v>
      </c>
      <c r="X131" s="4">
        <v>1100</v>
      </c>
      <c r="Z131" s="4">
        <v>240</v>
      </c>
      <c r="AA131" s="4">
        <v>16</v>
      </c>
      <c r="AB131" s="4">
        <v>90</v>
      </c>
      <c r="AC131" s="4">
        <v>22.4</v>
      </c>
      <c r="AD131" s="4">
        <v>3200</v>
      </c>
      <c r="AF131" s="4">
        <f t="shared" si="51"/>
        <v>24000</v>
      </c>
      <c r="AG131" s="4">
        <v>80000</v>
      </c>
      <c r="AK131" s="4">
        <v>2000</v>
      </c>
      <c r="AL131" s="4">
        <f t="shared" si="29"/>
        <v>50</v>
      </c>
      <c r="AN131" s="4">
        <v>550</v>
      </c>
      <c r="AO131" s="4">
        <v>32</v>
      </c>
      <c r="AP131" s="4">
        <v>16</v>
      </c>
      <c r="AQ131" s="4">
        <v>24</v>
      </c>
      <c r="AR131" s="4">
        <v>165</v>
      </c>
      <c r="AS131" s="4">
        <v>10</v>
      </c>
      <c r="AT131" s="4">
        <v>130</v>
      </c>
      <c r="AU131" s="4">
        <v>72</v>
      </c>
      <c r="AV131" s="4">
        <v>5200</v>
      </c>
      <c r="AZ131" s="4">
        <v>10000</v>
      </c>
      <c r="BA131" s="4">
        <v>105.96</v>
      </c>
      <c r="BB131" s="4">
        <v>0.8</v>
      </c>
      <c r="BC131" s="4" t="s">
        <v>420</v>
      </c>
      <c r="BD131" s="4" t="s">
        <v>421</v>
      </c>
      <c r="BE131" s="4" t="s">
        <v>91</v>
      </c>
      <c r="BF131" s="4">
        <v>84.66</v>
      </c>
      <c r="BG131" s="4">
        <v>6.89</v>
      </c>
      <c r="BI131" s="4">
        <v>0.59</v>
      </c>
      <c r="BM131" s="4" t="s">
        <v>422</v>
      </c>
    </row>
    <row r="132" spans="4:65">
      <c r="D132" s="17" t="str">
        <f t="shared" si="46"/>
        <v>ErgänzungsfuttermittelKatzeVitaminiertes Mineralfutter</v>
      </c>
      <c r="E132" s="4" t="s">
        <v>91</v>
      </c>
      <c r="F132" s="19" t="s">
        <v>90</v>
      </c>
      <c r="G132" s="4" t="s">
        <v>174</v>
      </c>
      <c r="L132" s="4" t="s">
        <v>175</v>
      </c>
      <c r="M132">
        <f t="shared" si="47"/>
        <v>44.7</v>
      </c>
      <c r="N132">
        <f t="shared" si="48"/>
        <v>16.600000000000001</v>
      </c>
      <c r="O132"/>
      <c r="P132">
        <f t="shared" si="49"/>
        <v>4.0999999999999996</v>
      </c>
      <c r="Q132"/>
      <c r="R132">
        <f t="shared" si="50"/>
        <v>1.4</v>
      </c>
      <c r="S132" s="4">
        <v>10500</v>
      </c>
      <c r="T132" s="4">
        <v>4300</v>
      </c>
      <c r="U132" s="33">
        <f t="shared" si="24"/>
        <v>2.441860465116279</v>
      </c>
      <c r="V132" s="4">
        <v>1400</v>
      </c>
      <c r="W132" s="4">
        <v>900</v>
      </c>
      <c r="X132" s="4">
        <v>1200</v>
      </c>
      <c r="Z132" s="4">
        <v>250</v>
      </c>
      <c r="AA132" s="4">
        <v>30</v>
      </c>
      <c r="AB132" s="4">
        <v>200</v>
      </c>
      <c r="AC132" s="4">
        <v>5</v>
      </c>
      <c r="AD132" s="4">
        <v>1500</v>
      </c>
      <c r="AE132" s="4">
        <v>300</v>
      </c>
      <c r="AF132" s="4">
        <f t="shared" si="51"/>
        <v>6000</v>
      </c>
      <c r="AG132" s="4">
        <v>20000</v>
      </c>
      <c r="AK132" s="4">
        <v>1000</v>
      </c>
      <c r="AL132" s="4">
        <f t="shared" si="29"/>
        <v>25</v>
      </c>
      <c r="AN132" s="4">
        <v>200</v>
      </c>
      <c r="AO132" s="4">
        <v>4</v>
      </c>
      <c r="AP132" s="4">
        <v>7.5</v>
      </c>
      <c r="AQ132" s="4">
        <v>4</v>
      </c>
      <c r="AR132" s="4">
        <v>100</v>
      </c>
      <c r="AS132" s="4">
        <v>50</v>
      </c>
      <c r="AT132" s="4">
        <v>20</v>
      </c>
      <c r="AU132" s="4">
        <v>20</v>
      </c>
      <c r="AV132" s="4">
        <v>10000</v>
      </c>
      <c r="AW132" s="4">
        <v>200</v>
      </c>
      <c r="AX132" s="4">
        <v>1</v>
      </c>
      <c r="AY132" s="4">
        <v>250</v>
      </c>
      <c r="AZ132" s="4">
        <v>500</v>
      </c>
      <c r="BA132" s="4">
        <v>39.92</v>
      </c>
      <c r="BB132" s="4" t="s">
        <v>178</v>
      </c>
      <c r="BC132" s="4" t="s">
        <v>175</v>
      </c>
      <c r="BD132" s="4" t="s">
        <v>105</v>
      </c>
      <c r="BE132" s="4" t="s">
        <v>91</v>
      </c>
      <c r="BF132" s="4">
        <v>44.7</v>
      </c>
      <c r="BG132" s="4">
        <v>16.600000000000001</v>
      </c>
      <c r="BI132" s="4">
        <v>4.0999999999999996</v>
      </c>
      <c r="BK132" s="4">
        <v>1.4</v>
      </c>
      <c r="BL132" s="4" t="s">
        <v>176</v>
      </c>
      <c r="BM132" s="4" t="s">
        <v>177</v>
      </c>
    </row>
    <row r="133" spans="4:65">
      <c r="D133" s="17" t="str">
        <f t="shared" si="46"/>
        <v>ErgänzungsfuttermittelKatzeVitaminiertes Mineralfutter</v>
      </c>
      <c r="E133" s="4" t="s">
        <v>91</v>
      </c>
      <c r="F133" s="19" t="s">
        <v>90</v>
      </c>
      <c r="G133" s="4" t="s">
        <v>174</v>
      </c>
      <c r="L133" s="4" t="s">
        <v>1262</v>
      </c>
      <c r="M133">
        <f t="shared" si="47"/>
        <v>63.5</v>
      </c>
      <c r="N133">
        <f t="shared" si="48"/>
        <v>18.399999999999999</v>
      </c>
      <c r="P133">
        <f t="shared" si="49"/>
        <v>0.1</v>
      </c>
      <c r="R133">
        <f t="shared" si="50"/>
        <v>2.6</v>
      </c>
      <c r="S133" s="4">
        <v>8800</v>
      </c>
      <c r="T133" s="4">
        <v>2100</v>
      </c>
      <c r="U133" s="33">
        <f t="shared" ref="U133:U196" si="52">IF(S133="","",S133/T133)</f>
        <v>4.1904761904761907</v>
      </c>
      <c r="V133" s="4">
        <v>300</v>
      </c>
      <c r="X133" s="4">
        <v>3900</v>
      </c>
      <c r="Y133" s="4">
        <v>12000</v>
      </c>
      <c r="Z133" s="4">
        <v>120</v>
      </c>
      <c r="AA133" s="4">
        <v>8</v>
      </c>
      <c r="AB133" s="4">
        <v>120</v>
      </c>
      <c r="AC133" s="4">
        <v>8</v>
      </c>
      <c r="AD133" s="4">
        <v>5000</v>
      </c>
      <c r="AE133" s="4">
        <v>400</v>
      </c>
      <c r="AF133" s="4">
        <f t="shared" si="51"/>
        <v>28500</v>
      </c>
      <c r="AG133" s="4">
        <v>95000</v>
      </c>
      <c r="AK133" s="4">
        <v>600</v>
      </c>
      <c r="AL133" s="4">
        <f t="shared" si="29"/>
        <v>15</v>
      </c>
      <c r="AN133" s="4">
        <v>100</v>
      </c>
      <c r="AO133" s="4">
        <v>32</v>
      </c>
      <c r="AP133" s="4">
        <v>12</v>
      </c>
      <c r="AQ133" s="4">
        <v>9</v>
      </c>
      <c r="AR133" s="4">
        <v>80</v>
      </c>
      <c r="AS133" s="4">
        <v>240</v>
      </c>
      <c r="AT133" s="4">
        <v>120</v>
      </c>
      <c r="AU133" s="4">
        <v>20</v>
      </c>
      <c r="AV133" s="4">
        <v>2000</v>
      </c>
      <c r="AY133" s="4">
        <v>23000</v>
      </c>
      <c r="AZ133" s="4">
        <v>8000</v>
      </c>
      <c r="BA133" s="4">
        <v>159</v>
      </c>
      <c r="BB133" s="4">
        <v>2.5</v>
      </c>
      <c r="BC133" s="4" t="s">
        <v>1262</v>
      </c>
      <c r="BD133" s="4" t="s">
        <v>1263</v>
      </c>
      <c r="BE133" s="4" t="s">
        <v>91</v>
      </c>
      <c r="BF133" s="4">
        <v>63.5</v>
      </c>
      <c r="BG133" s="4">
        <v>18.399999999999999</v>
      </c>
      <c r="BI133" s="4">
        <v>0.1</v>
      </c>
      <c r="BK133" s="4">
        <v>2.6</v>
      </c>
      <c r="BL133" s="4" t="s">
        <v>1264</v>
      </c>
      <c r="BM133" s="4" t="s">
        <v>1261</v>
      </c>
    </row>
    <row r="134" spans="4:65">
      <c r="D134" s="17" t="str">
        <f t="shared" si="46"/>
        <v>ErgänzungsfuttermittelKatzeVitaminiertes Mineralfutter</v>
      </c>
      <c r="E134" s="4" t="s">
        <v>91</v>
      </c>
      <c r="F134" s="19" t="s">
        <v>90</v>
      </c>
      <c r="G134" s="4" t="s">
        <v>174</v>
      </c>
      <c r="L134" s="4" t="s">
        <v>2446</v>
      </c>
      <c r="M134">
        <f t="shared" si="47"/>
        <v>69.8</v>
      </c>
      <c r="N134">
        <f t="shared" si="48"/>
        <v>4.0999999999999996</v>
      </c>
      <c r="P134">
        <f t="shared" si="49"/>
        <v>1.4</v>
      </c>
      <c r="R134">
        <f t="shared" si="50"/>
        <v>1.6</v>
      </c>
      <c r="S134" s="4">
        <v>17000</v>
      </c>
      <c r="T134" s="4">
        <v>9800</v>
      </c>
      <c r="U134" s="33">
        <f t="shared" si="52"/>
        <v>1.7346938775510203</v>
      </c>
      <c r="X134" s="4">
        <v>3300</v>
      </c>
      <c r="Z134" s="4">
        <v>122.5</v>
      </c>
      <c r="AA134" s="4">
        <v>12.25</v>
      </c>
      <c r="AB134" s="4">
        <v>52.5</v>
      </c>
      <c r="AC134" s="4">
        <v>26.25</v>
      </c>
      <c r="AD134" s="4">
        <v>420</v>
      </c>
      <c r="AE134" s="4">
        <v>630</v>
      </c>
      <c r="AF134" s="4">
        <f t="shared" si="51"/>
        <v>14070</v>
      </c>
      <c r="AG134" s="4">
        <v>46900</v>
      </c>
      <c r="AK134" s="4">
        <v>1050</v>
      </c>
      <c r="AL134" s="4">
        <f t="shared" si="29"/>
        <v>26.25</v>
      </c>
      <c r="AN134" s="4">
        <v>28</v>
      </c>
      <c r="AO134" s="4">
        <v>8.4</v>
      </c>
      <c r="AP134" s="4">
        <v>19.95</v>
      </c>
      <c r="AQ134" s="4">
        <v>8.4</v>
      </c>
      <c r="AR134" s="4">
        <v>98</v>
      </c>
      <c r="AT134" s="4">
        <v>63</v>
      </c>
      <c r="AU134" s="4">
        <v>63</v>
      </c>
      <c r="AV134" s="4">
        <v>1400</v>
      </c>
      <c r="BA134" s="4">
        <v>67.45</v>
      </c>
      <c r="BB134" s="4">
        <v>2</v>
      </c>
      <c r="BC134" s="4" t="s">
        <v>2446</v>
      </c>
      <c r="BD134" s="4" t="s">
        <v>2397</v>
      </c>
      <c r="BE134" s="4" t="s">
        <v>91</v>
      </c>
      <c r="BF134" s="4">
        <v>69.8</v>
      </c>
      <c r="BG134" s="4">
        <v>4.0999999999999996</v>
      </c>
      <c r="BI134" s="4">
        <v>1.4</v>
      </c>
      <c r="BK134" s="4">
        <v>1.6</v>
      </c>
      <c r="BL134" s="4" t="s">
        <v>2448</v>
      </c>
      <c r="BM134" s="4" t="s">
        <v>2447</v>
      </c>
    </row>
    <row r="135" spans="4:65">
      <c r="D135" s="17" t="str">
        <f t="shared" si="46"/>
        <v>ErgänzungsfuttermittelKatzeVitaminiertes Mineralfutter</v>
      </c>
      <c r="E135" s="4" t="s">
        <v>91</v>
      </c>
      <c r="F135" s="19" t="s">
        <v>90</v>
      </c>
      <c r="G135" s="4" t="s">
        <v>174</v>
      </c>
      <c r="L135" s="4" t="s">
        <v>1289</v>
      </c>
      <c r="M135">
        <f t="shared" si="47"/>
        <v>63.5</v>
      </c>
      <c r="N135">
        <f t="shared" si="48"/>
        <v>18.399999999999999</v>
      </c>
      <c r="P135">
        <f t="shared" si="49"/>
        <v>0.1</v>
      </c>
      <c r="R135">
        <f t="shared" si="50"/>
        <v>2.6</v>
      </c>
      <c r="S135" s="4">
        <v>8800</v>
      </c>
      <c r="T135" s="4">
        <v>2100</v>
      </c>
      <c r="U135" s="33">
        <f t="shared" si="52"/>
        <v>4.1904761904761907</v>
      </c>
      <c r="V135" s="4">
        <v>300</v>
      </c>
      <c r="X135" s="4">
        <v>3900</v>
      </c>
      <c r="Y135" s="4">
        <v>12000</v>
      </c>
      <c r="Z135" s="4">
        <v>120</v>
      </c>
      <c r="AA135" s="4">
        <v>8</v>
      </c>
      <c r="AB135" s="4">
        <v>120</v>
      </c>
      <c r="AC135" s="4">
        <v>8</v>
      </c>
      <c r="AD135" s="4">
        <v>5000</v>
      </c>
      <c r="AE135" s="4">
        <v>400</v>
      </c>
      <c r="AF135" s="4">
        <v>802</v>
      </c>
      <c r="AG135" s="4">
        <v>9500</v>
      </c>
      <c r="AK135" s="4">
        <v>600</v>
      </c>
      <c r="AL135" s="4">
        <f t="shared" si="29"/>
        <v>15</v>
      </c>
      <c r="AN135" s="4">
        <v>100</v>
      </c>
      <c r="AO135" s="4">
        <v>32</v>
      </c>
      <c r="AP135" s="4">
        <v>12</v>
      </c>
      <c r="AQ135" s="4">
        <v>9</v>
      </c>
      <c r="AR135" s="4">
        <v>80</v>
      </c>
      <c r="AS135" s="4">
        <v>240</v>
      </c>
      <c r="AT135" s="4">
        <v>120</v>
      </c>
      <c r="AU135" s="4">
        <v>20</v>
      </c>
      <c r="AV135" s="4">
        <v>2000</v>
      </c>
      <c r="AY135" s="4">
        <v>23000</v>
      </c>
      <c r="AZ135" s="4">
        <v>8000</v>
      </c>
      <c r="BA135" s="4">
        <v>227.92</v>
      </c>
      <c r="BB135" s="4">
        <v>2.5</v>
      </c>
      <c r="BC135" s="4" t="s">
        <v>1287</v>
      </c>
      <c r="BD135" s="4" t="s">
        <v>1285</v>
      </c>
      <c r="BE135" s="4" t="s">
        <v>91</v>
      </c>
      <c r="BF135" s="4">
        <v>63.5</v>
      </c>
      <c r="BG135" s="4">
        <v>18.399999999999999</v>
      </c>
      <c r="BI135" s="4">
        <v>0.1</v>
      </c>
      <c r="BK135" s="4">
        <v>2.6</v>
      </c>
      <c r="BL135" s="4" t="s">
        <v>1288</v>
      </c>
      <c r="BM135" s="4" t="s">
        <v>1286</v>
      </c>
    </row>
    <row r="136" spans="4:65">
      <c r="D136" s="17" t="str">
        <f t="shared" si="46"/>
        <v>ErgänzungsfuttermittelKatzeVitaminiertes Mineralfutter</v>
      </c>
      <c r="E136" s="4" t="s">
        <v>91</v>
      </c>
      <c r="F136" s="19" t="s">
        <v>90</v>
      </c>
      <c r="G136" s="4" t="s">
        <v>174</v>
      </c>
      <c r="L136" s="4" t="s">
        <v>2568</v>
      </c>
      <c r="M136">
        <f t="shared" si="47"/>
        <v>59.1</v>
      </c>
      <c r="N136">
        <f t="shared" si="48"/>
        <v>12.6</v>
      </c>
      <c r="P136">
        <f t="shared" si="49"/>
        <v>1.2</v>
      </c>
      <c r="R136">
        <f t="shared" si="50"/>
        <v>0.8</v>
      </c>
      <c r="U136" s="33" t="str">
        <f t="shared" si="52"/>
        <v/>
      </c>
      <c r="AB136" s="4">
        <v>24</v>
      </c>
      <c r="AE136" s="4">
        <v>10</v>
      </c>
      <c r="AF136" s="4">
        <f t="shared" ref="AF136:AF144" si="53">AG136*$BO$13</f>
        <v>0</v>
      </c>
      <c r="AK136" s="4">
        <v>2700</v>
      </c>
      <c r="AL136" s="4">
        <f t="shared" si="29"/>
        <v>67.5</v>
      </c>
      <c r="AN136" s="4">
        <v>60.3</v>
      </c>
      <c r="AQ136" s="4">
        <v>2550</v>
      </c>
      <c r="AT136" s="4">
        <v>4730</v>
      </c>
      <c r="AZ136" s="4">
        <v>2730</v>
      </c>
      <c r="BA136" s="4">
        <v>781.82</v>
      </c>
      <c r="BB136" s="4">
        <v>0.55000000000000004</v>
      </c>
      <c r="BC136" s="4" t="s">
        <v>2568</v>
      </c>
      <c r="BD136" s="4" t="s">
        <v>2565</v>
      </c>
      <c r="BE136" s="4" t="s">
        <v>91</v>
      </c>
      <c r="BF136" s="4">
        <v>59.1</v>
      </c>
      <c r="BG136" s="4">
        <v>12.6</v>
      </c>
      <c r="BI136" s="4">
        <v>1.2</v>
      </c>
      <c r="BK136" s="4">
        <v>0.8</v>
      </c>
      <c r="BL136" s="4" t="s">
        <v>2570</v>
      </c>
      <c r="BM136" s="4" t="s">
        <v>2569</v>
      </c>
    </row>
    <row r="137" spans="4:65">
      <c r="D137" s="17" t="str">
        <f t="shared" si="46"/>
        <v>ErgänzungsfuttermittelKatzeVitaminiertes Mineralfutter</v>
      </c>
      <c r="E137" s="4" t="s">
        <v>91</v>
      </c>
      <c r="F137" s="19" t="s">
        <v>90</v>
      </c>
      <c r="G137" s="4" t="s">
        <v>174</v>
      </c>
      <c r="L137" s="4" t="s">
        <v>2551</v>
      </c>
      <c r="M137">
        <f t="shared" si="47"/>
        <v>71</v>
      </c>
      <c r="N137">
        <f t="shared" si="48"/>
        <v>11.8</v>
      </c>
      <c r="P137">
        <f t="shared" si="49"/>
        <v>0</v>
      </c>
      <c r="R137">
        <f t="shared" si="50"/>
        <v>0</v>
      </c>
      <c r="S137" s="4">
        <v>25000</v>
      </c>
      <c r="T137" s="4">
        <v>1</v>
      </c>
      <c r="U137" s="33">
        <f t="shared" si="52"/>
        <v>25000</v>
      </c>
      <c r="AB137" s="4">
        <v>100</v>
      </c>
      <c r="AF137" s="4">
        <f t="shared" si="53"/>
        <v>6300</v>
      </c>
      <c r="AG137" s="4">
        <v>21000</v>
      </c>
      <c r="AK137" s="4">
        <v>5000</v>
      </c>
      <c r="AL137" s="4">
        <f t="shared" ref="AL137:AL200" si="54">AK137*$BO$14</f>
        <v>125</v>
      </c>
      <c r="AO137" s="4">
        <v>75</v>
      </c>
      <c r="AP137" s="4">
        <v>100</v>
      </c>
      <c r="AQ137" s="4">
        <v>50</v>
      </c>
      <c r="AR137" s="4">
        <v>200</v>
      </c>
      <c r="AS137" s="4">
        <v>700</v>
      </c>
      <c r="AT137" s="4">
        <v>200</v>
      </c>
      <c r="AU137" s="4">
        <v>70</v>
      </c>
      <c r="AV137" s="4">
        <v>5700</v>
      </c>
      <c r="AW137" s="4">
        <v>870</v>
      </c>
      <c r="AZ137" s="4">
        <v>6200</v>
      </c>
      <c r="BB137" s="4">
        <v>0.8</v>
      </c>
      <c r="BC137" s="4" t="s">
        <v>2551</v>
      </c>
      <c r="BD137" s="4" t="s">
        <v>2552</v>
      </c>
      <c r="BE137" s="4" t="s">
        <v>91</v>
      </c>
      <c r="BF137" s="4">
        <v>71</v>
      </c>
      <c r="BG137" s="4">
        <v>11.8</v>
      </c>
      <c r="BL137" s="4" t="s">
        <v>2554</v>
      </c>
      <c r="BM137" s="4" t="s">
        <v>2553</v>
      </c>
    </row>
    <row r="138" spans="4:65">
      <c r="D138" s="17" t="str">
        <f t="shared" si="46"/>
        <v>ErgänzungsfuttermittelKatzeVitaminiertes Mineralfutter</v>
      </c>
      <c r="E138" s="4" t="s">
        <v>91</v>
      </c>
      <c r="F138" s="19" t="s">
        <v>90</v>
      </c>
      <c r="G138" s="4" t="s">
        <v>174</v>
      </c>
      <c r="L138" s="4" t="s">
        <v>1779</v>
      </c>
      <c r="M138">
        <f t="shared" si="47"/>
        <v>0</v>
      </c>
      <c r="N138">
        <f t="shared" si="48"/>
        <v>0</v>
      </c>
      <c r="P138">
        <f t="shared" ref="P138:P139" si="55">BI138</f>
        <v>0</v>
      </c>
      <c r="R138">
        <f t="shared" si="50"/>
        <v>0</v>
      </c>
      <c r="S138" s="4">
        <v>36500</v>
      </c>
      <c r="T138" s="4">
        <v>1</v>
      </c>
      <c r="U138" s="33">
        <f t="shared" si="52"/>
        <v>36500</v>
      </c>
      <c r="V138" s="4">
        <v>500</v>
      </c>
      <c r="X138" s="4">
        <v>1000</v>
      </c>
      <c r="Z138" s="4">
        <v>120</v>
      </c>
      <c r="AA138" s="4">
        <v>40</v>
      </c>
      <c r="AB138" s="4">
        <v>180</v>
      </c>
      <c r="AC138" s="4">
        <v>15.5</v>
      </c>
      <c r="AD138" s="4">
        <v>6000</v>
      </c>
      <c r="AE138" s="4">
        <v>5000</v>
      </c>
      <c r="AF138" s="4">
        <f t="shared" si="53"/>
        <v>9000</v>
      </c>
      <c r="AG138" s="4">
        <v>30000</v>
      </c>
      <c r="AK138" s="4">
        <v>3000</v>
      </c>
      <c r="AL138" s="4">
        <f t="shared" si="54"/>
        <v>75</v>
      </c>
      <c r="AN138" s="4">
        <v>120</v>
      </c>
      <c r="AO138" s="4">
        <v>6</v>
      </c>
      <c r="AP138" s="4">
        <v>4.8</v>
      </c>
      <c r="AQ138" s="4">
        <v>5</v>
      </c>
      <c r="AR138" s="4">
        <v>90</v>
      </c>
      <c r="AS138" s="4">
        <v>500</v>
      </c>
      <c r="AT138" s="4">
        <v>60</v>
      </c>
      <c r="AU138" s="4">
        <v>6</v>
      </c>
      <c r="AW138" s="4">
        <v>100</v>
      </c>
      <c r="BA138" s="4">
        <v>13.56</v>
      </c>
      <c r="BC138" s="4" t="s">
        <v>1780</v>
      </c>
      <c r="BD138" s="4" t="s">
        <v>1769</v>
      </c>
      <c r="BE138" s="4" t="s">
        <v>91</v>
      </c>
      <c r="BL138" s="4" t="s">
        <v>437</v>
      </c>
      <c r="BM138" s="4" t="s">
        <v>1781</v>
      </c>
    </row>
    <row r="139" spans="4:65">
      <c r="D139" s="17" t="str">
        <f t="shared" si="46"/>
        <v>ErgänzungsfuttermittelKatzeVitaminiertes Mineralfutter</v>
      </c>
      <c r="E139" s="4" t="s">
        <v>91</v>
      </c>
      <c r="F139" s="19" t="s">
        <v>90</v>
      </c>
      <c r="G139" s="4" t="s">
        <v>174</v>
      </c>
      <c r="L139" s="4" t="s">
        <v>2319</v>
      </c>
      <c r="M139">
        <f t="shared" si="47"/>
        <v>0</v>
      </c>
      <c r="N139">
        <f t="shared" si="48"/>
        <v>0</v>
      </c>
      <c r="P139">
        <f t="shared" si="55"/>
        <v>0</v>
      </c>
      <c r="R139">
        <f t="shared" si="50"/>
        <v>0</v>
      </c>
      <c r="S139" s="4">
        <v>23200</v>
      </c>
      <c r="T139" s="4">
        <v>1</v>
      </c>
      <c r="U139" s="33">
        <f t="shared" si="52"/>
        <v>23200</v>
      </c>
      <c r="V139" s="4">
        <v>1500</v>
      </c>
      <c r="W139" s="4">
        <v>5600</v>
      </c>
      <c r="X139" s="4">
        <v>400</v>
      </c>
      <c r="Y139" s="4">
        <v>5600</v>
      </c>
      <c r="Z139" s="4">
        <v>550</v>
      </c>
      <c r="AA139" s="4">
        <v>44</v>
      </c>
      <c r="AB139" s="4">
        <v>780</v>
      </c>
      <c r="AC139" s="4">
        <v>55</v>
      </c>
      <c r="AD139" s="4">
        <v>11000</v>
      </c>
      <c r="AF139" s="4">
        <f t="shared" si="53"/>
        <v>7200</v>
      </c>
      <c r="AG139" s="4">
        <v>24000</v>
      </c>
      <c r="AK139" s="4">
        <v>4400</v>
      </c>
      <c r="AL139" s="4">
        <f t="shared" si="54"/>
        <v>110</v>
      </c>
      <c r="AN139" s="4">
        <v>440</v>
      </c>
      <c r="AO139" s="4">
        <v>90</v>
      </c>
      <c r="AP139" s="4">
        <v>50</v>
      </c>
      <c r="AQ139" s="4">
        <v>11</v>
      </c>
      <c r="AR139" s="4">
        <v>220</v>
      </c>
      <c r="AS139" s="4">
        <v>780</v>
      </c>
      <c r="AT139" s="4">
        <v>110</v>
      </c>
      <c r="AU139" s="4">
        <v>110</v>
      </c>
      <c r="AV139" s="4">
        <v>6500</v>
      </c>
      <c r="AZ139" s="4">
        <v>18000</v>
      </c>
      <c r="BA139" s="4">
        <v>128.13</v>
      </c>
      <c r="BB139" s="4">
        <v>1.05</v>
      </c>
      <c r="BC139" s="4" t="s">
        <v>2319</v>
      </c>
      <c r="BD139" s="4" t="s">
        <v>2322</v>
      </c>
      <c r="BE139" s="4" t="s">
        <v>91</v>
      </c>
      <c r="BL139" s="4" t="s">
        <v>2320</v>
      </c>
      <c r="BM139" s="4" t="s">
        <v>2321</v>
      </c>
    </row>
    <row r="140" spans="4:65">
      <c r="D140" s="17" t="str">
        <f t="shared" si="46"/>
        <v>ErgänzungsfuttermittelKatzeVitaminiertes Mineralfutter</v>
      </c>
      <c r="E140" s="4" t="s">
        <v>91</v>
      </c>
      <c r="F140" s="19" t="s">
        <v>90</v>
      </c>
      <c r="G140" s="4" t="s">
        <v>174</v>
      </c>
      <c r="L140" s="4" t="s">
        <v>2323</v>
      </c>
      <c r="M140">
        <f t="shared" si="47"/>
        <v>0</v>
      </c>
      <c r="N140">
        <f t="shared" si="48"/>
        <v>0</v>
      </c>
      <c r="P140">
        <f>BI140</f>
        <v>0</v>
      </c>
      <c r="R140">
        <f t="shared" si="50"/>
        <v>0</v>
      </c>
      <c r="S140" s="4">
        <v>20000</v>
      </c>
      <c r="T140" s="4">
        <v>1</v>
      </c>
      <c r="U140" s="33">
        <f t="shared" si="52"/>
        <v>20000</v>
      </c>
      <c r="V140" s="4">
        <v>1200</v>
      </c>
      <c r="W140" s="4">
        <v>5000</v>
      </c>
      <c r="X140" s="4">
        <v>500</v>
      </c>
      <c r="Y140" s="4">
        <v>4740</v>
      </c>
      <c r="Z140" s="4">
        <v>400</v>
      </c>
      <c r="AA140" s="4">
        <v>30</v>
      </c>
      <c r="AB140" s="4">
        <v>400</v>
      </c>
      <c r="AC140" s="4">
        <v>30</v>
      </c>
      <c r="AD140" s="4">
        <v>9000</v>
      </c>
      <c r="AF140" s="4">
        <f t="shared" si="53"/>
        <v>4800</v>
      </c>
      <c r="AG140" s="4">
        <v>16000</v>
      </c>
      <c r="AK140" s="4">
        <v>1800</v>
      </c>
      <c r="AL140" s="4">
        <f t="shared" si="54"/>
        <v>45</v>
      </c>
      <c r="AN140" s="4">
        <v>300</v>
      </c>
      <c r="AO140" s="4">
        <v>50</v>
      </c>
      <c r="AP140" s="4">
        <v>30</v>
      </c>
      <c r="AQ140" s="4">
        <v>16</v>
      </c>
      <c r="AR140" s="4">
        <v>200</v>
      </c>
      <c r="AS140" s="4">
        <v>650</v>
      </c>
      <c r="AT140" s="4">
        <v>240</v>
      </c>
      <c r="AU140" s="4">
        <v>40</v>
      </c>
      <c r="AV140" s="4">
        <v>5000</v>
      </c>
      <c r="AZ140" s="4">
        <v>18000</v>
      </c>
      <c r="BA140" s="4">
        <v>161.19999999999999</v>
      </c>
      <c r="BB140" s="4">
        <v>1.4</v>
      </c>
      <c r="BC140" s="4" t="s">
        <v>2323</v>
      </c>
      <c r="BD140" s="4" t="s">
        <v>2322</v>
      </c>
      <c r="BE140" s="4" t="s">
        <v>91</v>
      </c>
      <c r="BL140" s="4" t="s">
        <v>2324</v>
      </c>
      <c r="BM140" s="4" t="s">
        <v>2325</v>
      </c>
    </row>
    <row r="141" spans="4:65">
      <c r="D141" s="17" t="str">
        <f t="shared" si="46"/>
        <v>ErgänzungsfuttermittelKatzeVitaminiertes Mineralfutter</v>
      </c>
      <c r="E141" s="4" t="s">
        <v>91</v>
      </c>
      <c r="F141" s="19" t="s">
        <v>90</v>
      </c>
      <c r="G141" s="4" t="s">
        <v>174</v>
      </c>
      <c r="L141" s="4" t="s">
        <v>1786</v>
      </c>
      <c r="M141">
        <f t="shared" si="47"/>
        <v>0</v>
      </c>
      <c r="N141">
        <f t="shared" si="48"/>
        <v>0</v>
      </c>
      <c r="P141">
        <f>BI141</f>
        <v>0</v>
      </c>
      <c r="R141">
        <f t="shared" si="50"/>
        <v>0</v>
      </c>
      <c r="S141" s="4">
        <v>23000</v>
      </c>
      <c r="T141" s="4">
        <v>10000</v>
      </c>
      <c r="U141" s="33">
        <f t="shared" si="52"/>
        <v>2.2999999999999998</v>
      </c>
      <c r="X141" s="4">
        <v>4400</v>
      </c>
      <c r="Z141" s="4">
        <v>200</v>
      </c>
      <c r="AA141" s="4">
        <v>21</v>
      </c>
      <c r="AB141" s="4">
        <v>82.5</v>
      </c>
      <c r="AC141" s="4">
        <v>42</v>
      </c>
      <c r="AD141" s="4">
        <v>700</v>
      </c>
      <c r="AF141" s="4">
        <f t="shared" si="53"/>
        <v>19800</v>
      </c>
      <c r="AG141" s="4">
        <v>66000</v>
      </c>
      <c r="AK141" s="4">
        <v>6600</v>
      </c>
      <c r="AL141" s="4">
        <f t="shared" si="54"/>
        <v>165</v>
      </c>
      <c r="AN141" s="4">
        <v>33</v>
      </c>
      <c r="AO141" s="4">
        <v>11</v>
      </c>
      <c r="AP141" s="4">
        <v>27.5</v>
      </c>
      <c r="AQ141" s="4">
        <v>11</v>
      </c>
      <c r="AR141" s="4">
        <v>137</v>
      </c>
      <c r="AT141" s="4">
        <v>55</v>
      </c>
      <c r="AU141" s="4">
        <v>88</v>
      </c>
      <c r="AV141" s="4">
        <v>1100</v>
      </c>
      <c r="BA141" s="4">
        <v>12.4</v>
      </c>
      <c r="BC141" s="4" t="s">
        <v>1786</v>
      </c>
      <c r="BD141" s="4" t="s">
        <v>1769</v>
      </c>
      <c r="BE141" s="4" t="s">
        <v>91</v>
      </c>
      <c r="BL141" s="4" t="s">
        <v>1788</v>
      </c>
      <c r="BM141" s="4" t="s">
        <v>1787</v>
      </c>
    </row>
    <row r="142" spans="4:65">
      <c r="D142" s="17" t="str">
        <f t="shared" si="46"/>
        <v>ErgänzungsfuttermittelKatzeVitaminiertes Mineralfutter</v>
      </c>
      <c r="E142" s="4" t="s">
        <v>91</v>
      </c>
      <c r="F142" s="19" t="s">
        <v>90</v>
      </c>
      <c r="G142" s="4" t="s">
        <v>174</v>
      </c>
      <c r="L142" s="4" t="s">
        <v>1794</v>
      </c>
      <c r="M142">
        <f t="shared" si="47"/>
        <v>62</v>
      </c>
      <c r="N142">
        <f t="shared" si="48"/>
        <v>2</v>
      </c>
      <c r="P142">
        <f>BI142</f>
        <v>5</v>
      </c>
      <c r="R142">
        <f t="shared" si="50"/>
        <v>0</v>
      </c>
      <c r="S142" s="4">
        <v>18000</v>
      </c>
      <c r="T142" s="4">
        <v>13300</v>
      </c>
      <c r="U142" s="33">
        <f t="shared" si="52"/>
        <v>1.3533834586466165</v>
      </c>
      <c r="V142" s="4">
        <v>600</v>
      </c>
      <c r="X142" s="4">
        <v>100</v>
      </c>
      <c r="AE142" s="4">
        <v>1350</v>
      </c>
      <c r="AF142" s="4">
        <f t="shared" si="53"/>
        <v>0</v>
      </c>
      <c r="AL142" s="4">
        <f t="shared" si="54"/>
        <v>0</v>
      </c>
      <c r="AN142" s="4">
        <v>4600</v>
      </c>
      <c r="BA142" s="4">
        <v>31.48</v>
      </c>
      <c r="BC142" s="4" t="s">
        <v>1794</v>
      </c>
      <c r="BD142" s="4" t="s">
        <v>1769</v>
      </c>
      <c r="BE142" s="4" t="s">
        <v>91</v>
      </c>
      <c r="BF142" s="4">
        <v>62</v>
      </c>
      <c r="BG142" s="4">
        <v>2</v>
      </c>
      <c r="BI142" s="4">
        <v>5</v>
      </c>
      <c r="BK142" s="4">
        <v>0</v>
      </c>
      <c r="BL142" s="4" t="s">
        <v>1796</v>
      </c>
      <c r="BM142" s="4" t="s">
        <v>1795</v>
      </c>
    </row>
    <row r="143" spans="4:65">
      <c r="D143" s="17" t="str">
        <f t="shared" si="46"/>
        <v>ErgänzungsfuttermittelKatzeVitaminiertes Mineralfutter</v>
      </c>
      <c r="E143" s="4" t="s">
        <v>91</v>
      </c>
      <c r="F143" s="19" t="s">
        <v>90</v>
      </c>
      <c r="G143" s="4" t="s">
        <v>174</v>
      </c>
      <c r="L143" s="4" t="s">
        <v>1182</v>
      </c>
      <c r="M143">
        <f t="shared" si="47"/>
        <v>42.2</v>
      </c>
      <c r="N143">
        <f t="shared" si="48"/>
        <v>0</v>
      </c>
      <c r="P143">
        <f>BI143</f>
        <v>0</v>
      </c>
      <c r="R143">
        <f t="shared" si="50"/>
        <v>0</v>
      </c>
      <c r="S143" s="4">
        <v>23000</v>
      </c>
      <c r="T143" s="4">
        <v>10000</v>
      </c>
      <c r="U143" s="33">
        <f t="shared" si="52"/>
        <v>2.2999999999999998</v>
      </c>
      <c r="V143" s="4">
        <v>1600</v>
      </c>
      <c r="X143" s="4">
        <v>4400</v>
      </c>
      <c r="Z143" s="4">
        <v>210</v>
      </c>
      <c r="AA143" s="4">
        <v>21</v>
      </c>
      <c r="AB143" s="4">
        <v>82.6</v>
      </c>
      <c r="AC143" s="4">
        <v>42</v>
      </c>
      <c r="AD143" s="4">
        <v>700</v>
      </c>
      <c r="AF143" s="4">
        <f t="shared" si="53"/>
        <v>19800</v>
      </c>
      <c r="AG143" s="4">
        <v>66000</v>
      </c>
      <c r="AK143" s="4">
        <v>6600</v>
      </c>
      <c r="AL143" s="4">
        <f t="shared" si="54"/>
        <v>165</v>
      </c>
      <c r="AN143" s="4">
        <v>33</v>
      </c>
      <c r="AO143" s="4">
        <v>11</v>
      </c>
      <c r="AP143" s="4">
        <v>27.5</v>
      </c>
      <c r="AQ143" s="4">
        <v>11</v>
      </c>
      <c r="AR143" s="4">
        <v>137.1</v>
      </c>
      <c r="AT143" s="4">
        <v>55</v>
      </c>
      <c r="AU143" s="4">
        <v>88</v>
      </c>
      <c r="AV143" s="4">
        <v>1100</v>
      </c>
      <c r="BA143" s="4">
        <v>5.96</v>
      </c>
      <c r="BC143" s="4" t="s">
        <v>1182</v>
      </c>
      <c r="BD143" s="4" t="s">
        <v>1173</v>
      </c>
      <c r="BE143" s="4" t="s">
        <v>91</v>
      </c>
      <c r="BF143" s="4">
        <v>42.2</v>
      </c>
      <c r="BL143" s="4" t="s">
        <v>1184</v>
      </c>
      <c r="BM143" s="4" t="s">
        <v>1183</v>
      </c>
    </row>
    <row r="144" spans="4:65">
      <c r="D144" s="17" t="str">
        <f t="shared" si="46"/>
        <v>ErgänzungsfuttermittelKatzeVitaminiertes Mineralfutter</v>
      </c>
      <c r="E144" s="4" t="s">
        <v>91</v>
      </c>
      <c r="F144" s="4" t="s">
        <v>90</v>
      </c>
      <c r="G144" s="4" t="s">
        <v>174</v>
      </c>
      <c r="L144" s="4" t="s">
        <v>1185</v>
      </c>
      <c r="M144">
        <f t="shared" si="47"/>
        <v>43.9</v>
      </c>
      <c r="N144">
        <f t="shared" si="48"/>
        <v>13.6</v>
      </c>
      <c r="P144">
        <f>BI144</f>
        <v>2.7</v>
      </c>
      <c r="R144">
        <f t="shared" si="50"/>
        <v>10.199999999999999</v>
      </c>
      <c r="U144" s="33" t="str">
        <f t="shared" si="52"/>
        <v/>
      </c>
      <c r="AF144" s="4">
        <f t="shared" si="53"/>
        <v>0</v>
      </c>
      <c r="AL144" s="4">
        <f t="shared" si="54"/>
        <v>0</v>
      </c>
      <c r="AO144" s="4">
        <v>10</v>
      </c>
      <c r="AP144" s="4">
        <v>5</v>
      </c>
      <c r="AR144" s="4">
        <v>10</v>
      </c>
      <c r="AS144" s="4">
        <v>50000</v>
      </c>
      <c r="AW144" s="4">
        <v>18.5</v>
      </c>
      <c r="BA144" s="4">
        <v>118.93</v>
      </c>
      <c r="BC144" s="4" t="s">
        <v>1185</v>
      </c>
      <c r="BD144" s="4" t="s">
        <v>1173</v>
      </c>
      <c r="BE144" s="4" t="s">
        <v>91</v>
      </c>
      <c r="BF144" s="4">
        <v>43.9</v>
      </c>
      <c r="BG144" s="4">
        <v>13.6</v>
      </c>
      <c r="BI144" s="4">
        <v>2.7</v>
      </c>
      <c r="BK144" s="4">
        <v>10.199999999999999</v>
      </c>
      <c r="BL144" s="4" t="s">
        <v>1187</v>
      </c>
      <c r="BM144" s="4" t="s">
        <v>1186</v>
      </c>
    </row>
    <row r="145" spans="4:65">
      <c r="D145" s="17"/>
      <c r="U145" s="33" t="str">
        <f t="shared" si="52"/>
        <v/>
      </c>
      <c r="AF145" s="4">
        <f t="shared" ref="AF145:AF146" si="56">AG145*$BO$13</f>
        <v>0</v>
      </c>
      <c r="AL145" s="4">
        <f t="shared" si="54"/>
        <v>0</v>
      </c>
    </row>
    <row r="146" spans="4:65">
      <c r="D146" s="17" t="str">
        <f t="shared" ref="D146:D168" si="57">E146&amp;""&amp;F146&amp;""&amp;G146&amp;""&amp;H146</f>
        <v>ErgänzungsfuttermittelKatzeSpurenelementpräparat</v>
      </c>
      <c r="E146" s="4" t="s">
        <v>91</v>
      </c>
      <c r="F146" s="19" t="s">
        <v>90</v>
      </c>
      <c r="G146" s="4" t="s">
        <v>1561</v>
      </c>
      <c r="L146" s="4" t="s">
        <v>3183</v>
      </c>
      <c r="M146">
        <f t="shared" ref="M146:M168" si="58">BF146</f>
        <v>10.5</v>
      </c>
      <c r="N146">
        <f t="shared" ref="N146:N168" si="59">BG146</f>
        <v>16.7</v>
      </c>
      <c r="P146">
        <f t="shared" ref="P146:P168" si="60">BI146</f>
        <v>5.0999999999999996</v>
      </c>
      <c r="R146">
        <f t="shared" ref="R146:R168" si="61">BK146</f>
        <v>12.4</v>
      </c>
      <c r="U146" s="33" t="str">
        <f t="shared" si="52"/>
        <v/>
      </c>
      <c r="W146" s="4">
        <v>910</v>
      </c>
      <c r="X146" s="4">
        <v>1720</v>
      </c>
      <c r="Z146" s="4">
        <v>166.4</v>
      </c>
      <c r="AF146" s="4">
        <f t="shared" si="56"/>
        <v>0</v>
      </c>
      <c r="AL146" s="4">
        <f t="shared" si="54"/>
        <v>0</v>
      </c>
      <c r="BA146" s="4">
        <v>778.43</v>
      </c>
      <c r="BB146" s="4">
        <v>6</v>
      </c>
      <c r="BC146" s="4" t="s">
        <v>3183</v>
      </c>
      <c r="BD146" s="4" t="s">
        <v>100</v>
      </c>
      <c r="BE146" s="4" t="s">
        <v>91</v>
      </c>
      <c r="BF146" s="4">
        <v>10.5</v>
      </c>
      <c r="BG146" s="4">
        <v>16.7</v>
      </c>
      <c r="BI146" s="4">
        <v>5.0999999999999996</v>
      </c>
      <c r="BK146" s="4">
        <v>12.4</v>
      </c>
      <c r="BL146" s="4" t="s">
        <v>3185</v>
      </c>
      <c r="BM146" s="4" t="s">
        <v>3184</v>
      </c>
    </row>
    <row r="147" spans="4:65">
      <c r="D147" s="17" t="str">
        <f t="shared" si="57"/>
        <v>ErgänzungsfuttermittelKatzeSpurenelementpräparat</v>
      </c>
      <c r="E147" s="4" t="s">
        <v>91</v>
      </c>
      <c r="F147" s="19" t="s">
        <v>90</v>
      </c>
      <c r="G147" s="4" t="s">
        <v>1561</v>
      </c>
      <c r="L147" s="4" t="s">
        <v>2363</v>
      </c>
      <c r="M147">
        <f t="shared" si="58"/>
        <v>3.3</v>
      </c>
      <c r="N147">
        <f t="shared" si="59"/>
        <v>6.3</v>
      </c>
      <c r="P147">
        <f t="shared" si="60"/>
        <v>2.2999999999999998</v>
      </c>
      <c r="R147">
        <f t="shared" si="61"/>
        <v>22</v>
      </c>
      <c r="U147" s="33" t="str">
        <f t="shared" si="52"/>
        <v/>
      </c>
      <c r="X147" s="4">
        <v>100</v>
      </c>
      <c r="AA147" s="4">
        <v>60</v>
      </c>
      <c r="AF147" s="4">
        <f>AG147*$BO$13</f>
        <v>0</v>
      </c>
      <c r="AL147" s="4">
        <f t="shared" si="54"/>
        <v>0</v>
      </c>
      <c r="BA147" s="4">
        <v>154.19999999999999</v>
      </c>
      <c r="BB147" s="4">
        <v>0.6</v>
      </c>
      <c r="BC147" s="4" t="s">
        <v>2363</v>
      </c>
      <c r="BD147" s="4" t="s">
        <v>2322</v>
      </c>
      <c r="BE147" s="4" t="s">
        <v>91</v>
      </c>
      <c r="BF147" s="4">
        <v>3.3</v>
      </c>
      <c r="BG147" s="4">
        <v>6.3</v>
      </c>
      <c r="BI147" s="4">
        <v>2.2999999999999998</v>
      </c>
      <c r="BK147" s="4">
        <v>22</v>
      </c>
      <c r="BL147" s="4" t="s">
        <v>2365</v>
      </c>
      <c r="BM147" s="4" t="s">
        <v>2364</v>
      </c>
    </row>
    <row r="148" spans="4:65">
      <c r="D148" s="17" t="str">
        <f t="shared" si="57"/>
        <v>ErgänzungsfuttermittelKatzeSpurenelementpräparat</v>
      </c>
      <c r="E148" s="4" t="s">
        <v>91</v>
      </c>
      <c r="F148" s="19" t="s">
        <v>90</v>
      </c>
      <c r="G148" s="4" t="s">
        <v>1561</v>
      </c>
      <c r="L148" s="4" t="s">
        <v>1562</v>
      </c>
      <c r="M148">
        <f t="shared" si="58"/>
        <v>33</v>
      </c>
      <c r="N148">
        <f t="shared" si="59"/>
        <v>8</v>
      </c>
      <c r="P148">
        <f t="shared" si="60"/>
        <v>2</v>
      </c>
      <c r="R148">
        <f t="shared" si="61"/>
        <v>5</v>
      </c>
      <c r="U148" s="33" t="str">
        <f t="shared" si="52"/>
        <v/>
      </c>
      <c r="AA148" s="4">
        <v>17.5</v>
      </c>
      <c r="AB148" s="4">
        <v>100</v>
      </c>
      <c r="AC148" s="4">
        <v>100</v>
      </c>
      <c r="AE148" s="4">
        <v>2000</v>
      </c>
      <c r="AF148" s="4">
        <f>AG148*$BO$13</f>
        <v>0</v>
      </c>
      <c r="AL148" s="4">
        <f t="shared" si="54"/>
        <v>0</v>
      </c>
      <c r="BA148" s="4">
        <v>997</v>
      </c>
      <c r="BC148" s="4" t="s">
        <v>1562</v>
      </c>
      <c r="BD148" s="4" t="s">
        <v>1560</v>
      </c>
      <c r="BE148" s="4" t="s">
        <v>91</v>
      </c>
      <c r="BF148" s="4">
        <v>33</v>
      </c>
      <c r="BG148" s="4">
        <v>8</v>
      </c>
      <c r="BI148" s="4">
        <v>2</v>
      </c>
      <c r="BK148" s="4">
        <v>5</v>
      </c>
      <c r="BL148" s="4" t="s">
        <v>1564</v>
      </c>
      <c r="BM148" s="4" t="s">
        <v>1563</v>
      </c>
    </row>
    <row r="149" spans="4:65">
      <c r="D149" s="17" t="str">
        <f t="shared" si="57"/>
        <v>ErgänzungsfuttermittelKatzeSpurenelementpräparat</v>
      </c>
      <c r="E149" s="4" t="s">
        <v>91</v>
      </c>
      <c r="F149" s="19" t="s">
        <v>90</v>
      </c>
      <c r="G149" s="4" t="s">
        <v>1561</v>
      </c>
      <c r="L149" s="4" t="s">
        <v>1614</v>
      </c>
      <c r="M149">
        <f t="shared" si="58"/>
        <v>24</v>
      </c>
      <c r="N149">
        <f t="shared" si="59"/>
        <v>17</v>
      </c>
      <c r="P149">
        <f t="shared" si="60"/>
        <v>2</v>
      </c>
      <c r="R149">
        <f t="shared" si="61"/>
        <v>6</v>
      </c>
      <c r="U149" s="33" t="str">
        <f t="shared" si="52"/>
        <v/>
      </c>
      <c r="AA149" s="4">
        <v>8.8000000000000007</v>
      </c>
      <c r="AB149" s="4">
        <v>50</v>
      </c>
      <c r="AC149" s="4">
        <v>50</v>
      </c>
      <c r="AE149" s="4">
        <v>1000</v>
      </c>
      <c r="AF149" s="4">
        <f>AG149*$BO$13</f>
        <v>0</v>
      </c>
      <c r="AL149" s="4">
        <f t="shared" si="54"/>
        <v>0</v>
      </c>
      <c r="BA149" s="4">
        <v>1249.78</v>
      </c>
      <c r="BC149" s="4" t="s">
        <v>1565</v>
      </c>
      <c r="BD149" s="4" t="s">
        <v>1560</v>
      </c>
      <c r="BE149" s="4" t="s">
        <v>91</v>
      </c>
      <c r="BF149" s="4">
        <v>24</v>
      </c>
      <c r="BG149" s="4">
        <v>17</v>
      </c>
      <c r="BI149" s="4">
        <v>2</v>
      </c>
      <c r="BK149" s="4">
        <v>6</v>
      </c>
      <c r="BL149" s="4" t="s">
        <v>1567</v>
      </c>
      <c r="BM149" s="4" t="s">
        <v>1566</v>
      </c>
    </row>
    <row r="150" spans="4:65">
      <c r="D150" s="17" t="str">
        <f t="shared" si="57"/>
        <v>ErgänzungsfuttermittelKatzeSpurenelementpräparat</v>
      </c>
      <c r="E150" s="4" t="s">
        <v>91</v>
      </c>
      <c r="F150" s="19" t="s">
        <v>90</v>
      </c>
      <c r="G150" s="4" t="s">
        <v>1561</v>
      </c>
      <c r="L150" s="4" t="s">
        <v>2589</v>
      </c>
      <c r="M150">
        <f t="shared" si="58"/>
        <v>5.7</v>
      </c>
      <c r="N150">
        <f t="shared" si="59"/>
        <v>14.1</v>
      </c>
      <c r="P150">
        <f t="shared" si="60"/>
        <v>3.2</v>
      </c>
      <c r="R150">
        <f t="shared" si="61"/>
        <v>5.2</v>
      </c>
      <c r="U150" s="33" t="str">
        <f t="shared" si="52"/>
        <v/>
      </c>
      <c r="Z150" s="4">
        <v>26</v>
      </c>
      <c r="AB150" s="4">
        <v>51</v>
      </c>
      <c r="AF150" s="4">
        <f>AG150*$BO$13</f>
        <v>0</v>
      </c>
      <c r="AL150" s="4">
        <f t="shared" si="54"/>
        <v>0</v>
      </c>
      <c r="BA150" s="4">
        <v>67.599999999999994</v>
      </c>
      <c r="BB150" s="4">
        <v>5</v>
      </c>
      <c r="BC150" s="4" t="s">
        <v>2589</v>
      </c>
      <c r="BD150" s="4" t="s">
        <v>1767</v>
      </c>
      <c r="BE150" s="4" t="s">
        <v>91</v>
      </c>
      <c r="BF150" s="4">
        <v>5.7</v>
      </c>
      <c r="BG150" s="4">
        <v>14.1</v>
      </c>
      <c r="BI150" s="4">
        <v>3.2</v>
      </c>
      <c r="BK150" s="4">
        <v>5.2</v>
      </c>
      <c r="BL150" s="4" t="s">
        <v>2591</v>
      </c>
      <c r="BM150" s="4" t="s">
        <v>2590</v>
      </c>
    </row>
    <row r="151" spans="4:65">
      <c r="D151" s="17" t="str">
        <f t="shared" si="57"/>
        <v>ErgänzungsfuttermittelKatzeSpurenelementpräparat</v>
      </c>
      <c r="E151" s="4" t="s">
        <v>91</v>
      </c>
      <c r="F151" s="4" t="s">
        <v>90</v>
      </c>
      <c r="G151" s="4" t="s">
        <v>1561</v>
      </c>
      <c r="L151" s="4" t="s">
        <v>817</v>
      </c>
      <c r="M151">
        <f t="shared" si="58"/>
        <v>17.399999999999999</v>
      </c>
      <c r="N151">
        <f t="shared" si="59"/>
        <v>25.4</v>
      </c>
      <c r="P151">
        <f t="shared" si="60"/>
        <v>6.1</v>
      </c>
      <c r="R151">
        <f t="shared" si="61"/>
        <v>12.7</v>
      </c>
      <c r="S151" s="4">
        <v>600</v>
      </c>
      <c r="T151" s="4">
        <v>1</v>
      </c>
      <c r="U151" s="33">
        <f t="shared" si="52"/>
        <v>600</v>
      </c>
      <c r="V151" s="4">
        <v>270</v>
      </c>
      <c r="AB151" s="4">
        <v>2.8</v>
      </c>
      <c r="AF151" s="4">
        <f t="shared" ref="AF151:AF214" si="62">AG151*$BO$13</f>
        <v>0</v>
      </c>
      <c r="AL151" s="4">
        <f t="shared" si="54"/>
        <v>0</v>
      </c>
      <c r="BA151" s="4">
        <v>64.95</v>
      </c>
      <c r="BC151" s="4" t="s">
        <v>817</v>
      </c>
      <c r="BD151" s="4" t="s">
        <v>818</v>
      </c>
      <c r="BE151" s="4" t="s">
        <v>91</v>
      </c>
      <c r="BF151" s="4">
        <v>17.399999999999999</v>
      </c>
      <c r="BG151" s="4">
        <v>25.4</v>
      </c>
      <c r="BI151" s="4">
        <v>6.1</v>
      </c>
      <c r="BK151" s="4">
        <v>12.7</v>
      </c>
      <c r="BL151" s="4" t="s">
        <v>820</v>
      </c>
      <c r="BM151" s="4" t="s">
        <v>819</v>
      </c>
    </row>
    <row r="152" spans="4:65">
      <c r="D152" s="17" t="str">
        <f t="shared" si="57"/>
        <v>ErgänzungsfuttermittelKatzeSpurenelementpräparat</v>
      </c>
      <c r="E152" s="4" t="s">
        <v>91</v>
      </c>
      <c r="F152" s="19" t="s">
        <v>90</v>
      </c>
      <c r="G152" s="4" t="s">
        <v>1561</v>
      </c>
      <c r="L152" s="4" t="s">
        <v>821</v>
      </c>
      <c r="M152">
        <f t="shared" si="58"/>
        <v>15.8</v>
      </c>
      <c r="N152">
        <f t="shared" si="59"/>
        <v>25.3</v>
      </c>
      <c r="P152">
        <f t="shared" si="60"/>
        <v>6</v>
      </c>
      <c r="R152">
        <f t="shared" si="61"/>
        <v>12.8</v>
      </c>
      <c r="S152" s="4">
        <v>720</v>
      </c>
      <c r="T152" s="4">
        <v>1</v>
      </c>
      <c r="U152" s="33">
        <f t="shared" si="52"/>
        <v>720</v>
      </c>
      <c r="V152" s="4">
        <v>290</v>
      </c>
      <c r="AB152" s="4">
        <v>2.5</v>
      </c>
      <c r="AF152" s="4">
        <f t="shared" si="62"/>
        <v>0</v>
      </c>
      <c r="AL152" s="4">
        <f t="shared" si="54"/>
        <v>0</v>
      </c>
      <c r="BA152" s="4">
        <v>64.95</v>
      </c>
      <c r="BC152" s="4" t="s">
        <v>831</v>
      </c>
      <c r="BD152" s="4" t="s">
        <v>818</v>
      </c>
      <c r="BE152" s="4" t="s">
        <v>91</v>
      </c>
      <c r="BF152" s="4">
        <v>15.8</v>
      </c>
      <c r="BG152" s="4">
        <v>25.3</v>
      </c>
      <c r="BI152" s="4">
        <v>6</v>
      </c>
      <c r="BK152" s="4">
        <v>12.8</v>
      </c>
      <c r="BL152" s="4" t="s">
        <v>823</v>
      </c>
      <c r="BM152" s="4" t="s">
        <v>822</v>
      </c>
    </row>
    <row r="153" spans="4:65">
      <c r="D153" s="17" t="str">
        <f t="shared" si="57"/>
        <v>ErgänzungsfuttermittelKatzeSpurenelementpräparat</v>
      </c>
      <c r="E153" s="4" t="s">
        <v>91</v>
      </c>
      <c r="F153" s="19" t="s">
        <v>90</v>
      </c>
      <c r="G153" s="4" t="s">
        <v>1561</v>
      </c>
      <c r="L153" s="4" t="s">
        <v>824</v>
      </c>
      <c r="M153">
        <f t="shared" si="58"/>
        <v>6.9</v>
      </c>
      <c r="N153">
        <f t="shared" si="59"/>
        <v>28.6</v>
      </c>
      <c r="P153">
        <f t="shared" si="60"/>
        <v>9.4</v>
      </c>
      <c r="R153">
        <f t="shared" si="61"/>
        <v>14.2</v>
      </c>
      <c r="S153" s="4">
        <v>520</v>
      </c>
      <c r="T153" s="4">
        <v>1</v>
      </c>
      <c r="U153" s="33">
        <f t="shared" si="52"/>
        <v>520</v>
      </c>
      <c r="V153" s="4">
        <v>260</v>
      </c>
      <c r="AB153" s="4">
        <v>3.2</v>
      </c>
      <c r="AF153" s="4">
        <f t="shared" si="62"/>
        <v>0</v>
      </c>
      <c r="AL153" s="4">
        <f t="shared" si="54"/>
        <v>0</v>
      </c>
      <c r="BA153" s="4">
        <v>64.95</v>
      </c>
      <c r="BC153" s="4" t="s">
        <v>825</v>
      </c>
      <c r="BD153" s="4" t="s">
        <v>818</v>
      </c>
      <c r="BE153" s="4" t="s">
        <v>91</v>
      </c>
      <c r="BF153" s="4">
        <v>6.9</v>
      </c>
      <c r="BG153" s="4">
        <v>28.6</v>
      </c>
      <c r="BI153" s="4">
        <v>9.4</v>
      </c>
      <c r="BK153" s="4">
        <v>14.2</v>
      </c>
      <c r="BL153" s="4" t="s">
        <v>827</v>
      </c>
      <c r="BM153" s="4" t="s">
        <v>826</v>
      </c>
    </row>
    <row r="154" spans="4:65">
      <c r="D154" s="17" t="str">
        <f t="shared" si="57"/>
        <v>ErgänzungsfuttermittelKatzeSpurenelementpräparat</v>
      </c>
      <c r="E154" s="4" t="s">
        <v>91</v>
      </c>
      <c r="F154" s="19" t="s">
        <v>90</v>
      </c>
      <c r="G154" s="4" t="s">
        <v>1561</v>
      </c>
      <c r="L154" s="4" t="s">
        <v>2640</v>
      </c>
      <c r="M154">
        <f t="shared" si="58"/>
        <v>7.8</v>
      </c>
      <c r="N154">
        <f t="shared" si="59"/>
        <v>22.9</v>
      </c>
      <c r="P154">
        <f t="shared" si="60"/>
        <v>1.9</v>
      </c>
      <c r="R154">
        <f t="shared" si="61"/>
        <v>10.1</v>
      </c>
      <c r="U154" s="33" t="str">
        <f t="shared" si="52"/>
        <v/>
      </c>
      <c r="AE154" s="4">
        <v>1030000</v>
      </c>
      <c r="AF154" s="4">
        <f t="shared" si="62"/>
        <v>0</v>
      </c>
      <c r="AL154" s="4">
        <f t="shared" si="54"/>
        <v>0</v>
      </c>
      <c r="BC154" s="4" t="s">
        <v>2641</v>
      </c>
      <c r="BD154" s="4" t="s">
        <v>96</v>
      </c>
      <c r="BE154" s="4" t="s">
        <v>91</v>
      </c>
      <c r="BF154" s="4">
        <v>7.8</v>
      </c>
      <c r="BG154" s="4">
        <v>22.9</v>
      </c>
      <c r="BI154" s="4">
        <v>1.9</v>
      </c>
      <c r="BK154" s="4">
        <v>10.1</v>
      </c>
      <c r="BL154" s="4" t="s">
        <v>2643</v>
      </c>
      <c r="BM154" s="4" t="s">
        <v>2642</v>
      </c>
    </row>
    <row r="155" spans="4:65">
      <c r="D155" s="17" t="str">
        <f t="shared" si="57"/>
        <v>ErgänzungsfuttermittelKatzeSpurenelementpräparat</v>
      </c>
      <c r="E155" s="4" t="s">
        <v>91</v>
      </c>
      <c r="F155" s="19" t="s">
        <v>90</v>
      </c>
      <c r="G155" s="4" t="s">
        <v>1561</v>
      </c>
      <c r="L155" s="4" t="s">
        <v>1016</v>
      </c>
      <c r="M155">
        <f t="shared" si="58"/>
        <v>7.8</v>
      </c>
      <c r="N155">
        <f t="shared" si="59"/>
        <v>42.4</v>
      </c>
      <c r="P155">
        <f t="shared" si="60"/>
        <v>2.1</v>
      </c>
      <c r="R155">
        <f t="shared" si="61"/>
        <v>3.5</v>
      </c>
      <c r="U155" s="33" t="str">
        <f t="shared" si="52"/>
        <v/>
      </c>
      <c r="X155" s="4">
        <v>100</v>
      </c>
      <c r="AA155" s="4">
        <v>50</v>
      </c>
      <c r="AB155" s="4">
        <v>500</v>
      </c>
      <c r="AC155" s="4">
        <v>65</v>
      </c>
      <c r="AF155" s="4">
        <f t="shared" si="62"/>
        <v>0</v>
      </c>
      <c r="AL155" s="4">
        <f t="shared" si="54"/>
        <v>0</v>
      </c>
      <c r="BA155" s="4">
        <v>54.75</v>
      </c>
      <c r="BB155" s="4">
        <v>0.38</v>
      </c>
      <c r="BC155" s="4" t="s">
        <v>1017</v>
      </c>
      <c r="BD155" s="4" t="s">
        <v>997</v>
      </c>
      <c r="BE155" s="4" t="s">
        <v>91</v>
      </c>
      <c r="BF155" s="4">
        <v>7.8</v>
      </c>
      <c r="BG155" s="4">
        <v>42.4</v>
      </c>
      <c r="BI155" s="4">
        <v>2.1</v>
      </c>
      <c r="BK155" s="4">
        <v>3.5</v>
      </c>
      <c r="BL155" s="4" t="s">
        <v>1274</v>
      </c>
      <c r="BM155" s="4" t="s">
        <v>1018</v>
      </c>
    </row>
    <row r="156" spans="4:65">
      <c r="D156" s="17" t="str">
        <f t="shared" si="57"/>
        <v>ErgänzungsfuttermittelKatzeSpurenelementpräparat</v>
      </c>
      <c r="E156" s="4" t="s">
        <v>91</v>
      </c>
      <c r="F156" s="19" t="s">
        <v>90</v>
      </c>
      <c r="G156" s="4" t="s">
        <v>1561</v>
      </c>
      <c r="L156" s="4" t="s">
        <v>446</v>
      </c>
      <c r="M156">
        <f t="shared" si="58"/>
        <v>0</v>
      </c>
      <c r="N156">
        <f t="shared" si="59"/>
        <v>0</v>
      </c>
      <c r="P156">
        <f t="shared" si="60"/>
        <v>0</v>
      </c>
      <c r="R156">
        <f t="shared" si="61"/>
        <v>0</v>
      </c>
      <c r="U156" s="33" t="str">
        <f t="shared" si="52"/>
        <v/>
      </c>
      <c r="AD156" s="4">
        <v>5500</v>
      </c>
      <c r="AF156" s="4">
        <f t="shared" si="62"/>
        <v>0</v>
      </c>
      <c r="AL156" s="4">
        <f t="shared" si="54"/>
        <v>0</v>
      </c>
      <c r="BA156" s="4">
        <v>55.7</v>
      </c>
      <c r="BC156" s="4" t="s">
        <v>446</v>
      </c>
      <c r="BD156" s="4" t="s">
        <v>431</v>
      </c>
      <c r="BE156" s="4" t="s">
        <v>91</v>
      </c>
      <c r="BM156" s="4" t="s">
        <v>447</v>
      </c>
    </row>
    <row r="157" spans="4:65">
      <c r="D157" s="17" t="str">
        <f t="shared" si="57"/>
        <v>ErgänzungsfuttermittelKatzeSpurenelementpräparat</v>
      </c>
      <c r="E157" s="4" t="s">
        <v>91</v>
      </c>
      <c r="F157" s="19" t="s">
        <v>90</v>
      </c>
      <c r="G157" s="4" t="s">
        <v>1561</v>
      </c>
      <c r="L157" s="4" t="s">
        <v>248</v>
      </c>
      <c r="M157">
        <f t="shared" si="58"/>
        <v>8</v>
      </c>
      <c r="N157">
        <f t="shared" si="59"/>
        <v>55</v>
      </c>
      <c r="P157">
        <f t="shared" si="60"/>
        <v>19</v>
      </c>
      <c r="R157">
        <f t="shared" si="61"/>
        <v>1</v>
      </c>
      <c r="U157" s="33" t="str">
        <f t="shared" si="52"/>
        <v/>
      </c>
      <c r="Z157" s="4">
        <v>650</v>
      </c>
      <c r="AA157" s="4">
        <v>24</v>
      </c>
      <c r="AB157" s="4">
        <v>60</v>
      </c>
      <c r="AC157" s="4">
        <v>24</v>
      </c>
      <c r="AD157" s="4">
        <v>1000</v>
      </c>
      <c r="AE157" s="4">
        <v>71</v>
      </c>
      <c r="AF157" s="4">
        <f t="shared" si="62"/>
        <v>0</v>
      </c>
      <c r="AL157" s="4">
        <f t="shared" si="54"/>
        <v>0</v>
      </c>
      <c r="AZ157" s="4">
        <v>248</v>
      </c>
      <c r="BA157" s="4">
        <v>1091.5</v>
      </c>
      <c r="BB157" s="4">
        <v>1</v>
      </c>
      <c r="BC157" s="4" t="s">
        <v>244</v>
      </c>
      <c r="BD157" s="4" t="s">
        <v>243</v>
      </c>
      <c r="BE157" s="4" t="s">
        <v>91</v>
      </c>
      <c r="BF157" s="4">
        <v>8</v>
      </c>
      <c r="BG157" s="4">
        <v>55</v>
      </c>
      <c r="BI157" s="4">
        <v>19</v>
      </c>
      <c r="BJ157" s="4">
        <f>100-(BF157+BG157+BI157)</f>
        <v>18</v>
      </c>
      <c r="BK157" s="4">
        <v>1</v>
      </c>
      <c r="BL157" s="4" t="s">
        <v>246</v>
      </c>
      <c r="BM157" s="4" t="s">
        <v>245</v>
      </c>
    </row>
    <row r="158" spans="4:65">
      <c r="D158" s="17" t="str">
        <f t="shared" si="57"/>
        <v>ErgänzungsfuttermittelKatzeSpurenelementpräparat</v>
      </c>
      <c r="E158" s="4" t="s">
        <v>91</v>
      </c>
      <c r="F158" s="19" t="s">
        <v>90</v>
      </c>
      <c r="G158" s="4" t="s">
        <v>1561</v>
      </c>
      <c r="L158" s="4" t="s">
        <v>1376</v>
      </c>
      <c r="M158">
        <f t="shared" si="58"/>
        <v>12</v>
      </c>
      <c r="N158">
        <f t="shared" si="59"/>
        <v>12</v>
      </c>
      <c r="P158">
        <f t="shared" si="60"/>
        <v>2</v>
      </c>
      <c r="R158">
        <f t="shared" si="61"/>
        <v>8</v>
      </c>
      <c r="U158" s="33" t="str">
        <f t="shared" si="52"/>
        <v/>
      </c>
      <c r="AA158" s="4">
        <v>10</v>
      </c>
      <c r="AC158" s="4">
        <v>10</v>
      </c>
      <c r="AF158" s="4">
        <f t="shared" si="62"/>
        <v>0</v>
      </c>
      <c r="AL158" s="4">
        <f t="shared" si="54"/>
        <v>0</v>
      </c>
      <c r="BB158" s="4">
        <v>2</v>
      </c>
      <c r="BC158" s="4" t="s">
        <v>1376</v>
      </c>
      <c r="BD158" s="4" t="s">
        <v>1372</v>
      </c>
      <c r="BE158" s="4" t="s">
        <v>91</v>
      </c>
      <c r="BF158" s="4">
        <v>12</v>
      </c>
      <c r="BG158" s="4">
        <v>12</v>
      </c>
      <c r="BI158" s="4">
        <v>2</v>
      </c>
      <c r="BK158" s="4">
        <v>8</v>
      </c>
      <c r="BL158" s="4" t="s">
        <v>1378</v>
      </c>
      <c r="BM158" s="4" t="s">
        <v>1377</v>
      </c>
    </row>
    <row r="159" spans="4:65">
      <c r="D159" s="17" t="str">
        <f t="shared" si="57"/>
        <v>ErgänzungsfuttermittelKatzeSpurenelementpräparat</v>
      </c>
      <c r="E159" s="4" t="s">
        <v>91</v>
      </c>
      <c r="F159" s="19" t="s">
        <v>90</v>
      </c>
      <c r="G159" s="4" t="s">
        <v>1561</v>
      </c>
      <c r="L159" s="4" t="s">
        <v>1382</v>
      </c>
      <c r="M159">
        <f t="shared" si="58"/>
        <v>6</v>
      </c>
      <c r="N159">
        <f t="shared" si="59"/>
        <v>12</v>
      </c>
      <c r="P159">
        <f t="shared" si="60"/>
        <v>4</v>
      </c>
      <c r="R159">
        <f t="shared" si="61"/>
        <v>7</v>
      </c>
      <c r="U159" s="33" t="str">
        <f t="shared" si="52"/>
        <v/>
      </c>
      <c r="AC159" s="4">
        <v>150</v>
      </c>
      <c r="AF159" s="4">
        <f t="shared" si="62"/>
        <v>0</v>
      </c>
      <c r="AL159" s="4">
        <f t="shared" si="54"/>
        <v>0</v>
      </c>
      <c r="BB159" s="4">
        <v>2</v>
      </c>
      <c r="BC159" s="4" t="s">
        <v>1382</v>
      </c>
      <c r="BD159" s="4" t="s">
        <v>1372</v>
      </c>
      <c r="BE159" s="4" t="s">
        <v>91</v>
      </c>
      <c r="BF159" s="4">
        <v>6</v>
      </c>
      <c r="BG159" s="4">
        <v>12</v>
      </c>
      <c r="BI159" s="4">
        <v>4</v>
      </c>
      <c r="BK159" s="4">
        <v>7</v>
      </c>
      <c r="BL159" s="4" t="s">
        <v>1383</v>
      </c>
      <c r="BM159" s="4" t="s">
        <v>1384</v>
      </c>
    </row>
    <row r="160" spans="4:65">
      <c r="D160" s="17" t="str">
        <f t="shared" si="57"/>
        <v>ErgänzungsfuttermittelKatzeSpurenelementpräparat</v>
      </c>
      <c r="E160" s="4" t="s">
        <v>91</v>
      </c>
      <c r="F160" s="19" t="s">
        <v>90</v>
      </c>
      <c r="G160" s="4" t="s">
        <v>1561</v>
      </c>
      <c r="L160" s="4" t="s">
        <v>1406</v>
      </c>
      <c r="M160">
        <f t="shared" si="58"/>
        <v>9.18</v>
      </c>
      <c r="N160">
        <f t="shared" si="59"/>
        <v>0.1</v>
      </c>
      <c r="P160">
        <f t="shared" si="60"/>
        <v>0.1</v>
      </c>
      <c r="R160">
        <f t="shared" si="61"/>
        <v>0.1</v>
      </c>
      <c r="U160" s="33" t="str">
        <f t="shared" si="52"/>
        <v/>
      </c>
      <c r="X160" s="4">
        <v>100</v>
      </c>
      <c r="AA160" s="4">
        <v>5</v>
      </c>
      <c r="AB160" s="4">
        <v>5</v>
      </c>
      <c r="AC160" s="4">
        <v>5</v>
      </c>
      <c r="AF160" s="4">
        <f t="shared" si="62"/>
        <v>0</v>
      </c>
      <c r="AL160" s="4">
        <f t="shared" si="54"/>
        <v>0</v>
      </c>
      <c r="BB160" s="4">
        <v>1</v>
      </c>
      <c r="BC160" s="4" t="s">
        <v>1406</v>
      </c>
      <c r="BD160" s="4" t="s">
        <v>1388</v>
      </c>
      <c r="BE160" s="4" t="s">
        <v>91</v>
      </c>
      <c r="BF160" s="4">
        <v>9.18</v>
      </c>
      <c r="BG160" s="4">
        <v>0.1</v>
      </c>
      <c r="BI160" s="4">
        <v>0.1</v>
      </c>
      <c r="BK160" s="4">
        <v>0.1</v>
      </c>
      <c r="BL160" s="4" t="s">
        <v>1408</v>
      </c>
      <c r="BM160" s="4" t="s">
        <v>1407</v>
      </c>
    </row>
    <row r="161" spans="4:65">
      <c r="D161" s="17" t="str">
        <f t="shared" si="57"/>
        <v>ErgänzungsfuttermittelKatzeSpurenelementpräparat</v>
      </c>
      <c r="E161" s="4" t="s">
        <v>91</v>
      </c>
      <c r="F161" s="19" t="s">
        <v>90</v>
      </c>
      <c r="G161" s="4" t="s">
        <v>1561</v>
      </c>
      <c r="L161" s="4" t="s">
        <v>1138</v>
      </c>
      <c r="M161">
        <f t="shared" si="58"/>
        <v>7.6</v>
      </c>
      <c r="N161">
        <f t="shared" si="59"/>
        <v>40.799999999999997</v>
      </c>
      <c r="P161">
        <f t="shared" si="60"/>
        <v>11.4</v>
      </c>
      <c r="R161">
        <f t="shared" si="61"/>
        <v>10.4</v>
      </c>
      <c r="S161" s="4">
        <v>970</v>
      </c>
      <c r="T161" s="4">
        <v>870</v>
      </c>
      <c r="U161" s="33">
        <f t="shared" si="52"/>
        <v>1.1149425287356323</v>
      </c>
      <c r="V161" s="4">
        <v>360</v>
      </c>
      <c r="W161" s="4">
        <v>1160</v>
      </c>
      <c r="X161" s="4">
        <v>310</v>
      </c>
      <c r="Z161" s="4">
        <v>81.7</v>
      </c>
      <c r="AA161" s="4">
        <v>0.94</v>
      </c>
      <c r="AB161" s="4">
        <v>10.9</v>
      </c>
      <c r="AC161" s="4">
        <v>17.100000000000001</v>
      </c>
      <c r="AF161" s="4">
        <f t="shared" si="62"/>
        <v>0</v>
      </c>
      <c r="AL161" s="4">
        <f t="shared" si="54"/>
        <v>0</v>
      </c>
      <c r="BA161" s="4">
        <v>42.26</v>
      </c>
      <c r="BB161" s="4">
        <v>3</v>
      </c>
      <c r="BC161" s="4" t="s">
        <v>1139</v>
      </c>
      <c r="BD161" s="4" t="s">
        <v>1077</v>
      </c>
      <c r="BE161" s="4" t="s">
        <v>91</v>
      </c>
      <c r="BF161" s="4">
        <v>7.6</v>
      </c>
      <c r="BG161" s="4">
        <v>40.799999999999997</v>
      </c>
      <c r="BI161" s="4">
        <v>11.4</v>
      </c>
      <c r="BK161" s="4">
        <v>10.4</v>
      </c>
      <c r="BL161" s="4" t="s">
        <v>1141</v>
      </c>
      <c r="BM161" s="4" t="s">
        <v>1140</v>
      </c>
    </row>
    <row r="162" spans="4:65">
      <c r="D162" s="17" t="str">
        <f t="shared" si="57"/>
        <v>ErgänzungsfuttermittelKatzeSpurenelementpräparat</v>
      </c>
      <c r="E162" s="4" t="s">
        <v>91</v>
      </c>
      <c r="F162" s="19" t="s">
        <v>90</v>
      </c>
      <c r="G162" s="4" t="s">
        <v>1561</v>
      </c>
      <c r="L162" s="4" t="s">
        <v>1149</v>
      </c>
      <c r="M162">
        <f t="shared" si="58"/>
        <v>22.3</v>
      </c>
      <c r="N162">
        <f t="shared" si="59"/>
        <v>5.3</v>
      </c>
      <c r="P162">
        <f t="shared" si="60"/>
        <v>2.2000000000000002</v>
      </c>
      <c r="R162">
        <f t="shared" si="61"/>
        <v>5.7</v>
      </c>
      <c r="U162" s="33" t="str">
        <f t="shared" si="52"/>
        <v/>
      </c>
      <c r="AD162" s="4">
        <v>60000</v>
      </c>
      <c r="AF162" s="4">
        <f t="shared" si="62"/>
        <v>0</v>
      </c>
      <c r="AL162" s="4">
        <f t="shared" si="54"/>
        <v>0</v>
      </c>
      <c r="BA162" s="4">
        <v>211.22</v>
      </c>
      <c r="BB162" s="4">
        <v>3</v>
      </c>
      <c r="BC162" s="4" t="s">
        <v>1149</v>
      </c>
      <c r="BD162" s="4" t="s">
        <v>1150</v>
      </c>
      <c r="BE162" s="4" t="s">
        <v>91</v>
      </c>
      <c r="BF162" s="4">
        <v>22.3</v>
      </c>
      <c r="BG162" s="4">
        <v>5.3</v>
      </c>
      <c r="BI162" s="4">
        <v>2.2000000000000002</v>
      </c>
      <c r="BK162" s="4">
        <v>5.7</v>
      </c>
      <c r="BL162" s="4" t="s">
        <v>1152</v>
      </c>
      <c r="BM162" s="4" t="s">
        <v>1151</v>
      </c>
    </row>
    <row r="163" spans="4:65">
      <c r="D163" s="17" t="str">
        <f t="shared" si="57"/>
        <v>ErgänzungsfuttermittelKatzeSpurenelementpräparat</v>
      </c>
      <c r="E163" s="4" t="s">
        <v>91</v>
      </c>
      <c r="F163" s="19" t="s">
        <v>90</v>
      </c>
      <c r="G163" s="4" t="s">
        <v>1561</v>
      </c>
      <c r="L163" s="4" t="s">
        <v>1843</v>
      </c>
      <c r="M163">
        <f t="shared" si="58"/>
        <v>20.9</v>
      </c>
      <c r="N163">
        <f t="shared" si="59"/>
        <v>12.5</v>
      </c>
      <c r="P163">
        <f t="shared" si="60"/>
        <v>3</v>
      </c>
      <c r="R163">
        <f t="shared" si="61"/>
        <v>15.3</v>
      </c>
      <c r="U163" s="33" t="str">
        <f t="shared" si="52"/>
        <v/>
      </c>
      <c r="AD163" s="4">
        <v>4500</v>
      </c>
      <c r="AF163" s="4">
        <f t="shared" si="62"/>
        <v>0</v>
      </c>
      <c r="AL163" s="4">
        <f t="shared" si="54"/>
        <v>0</v>
      </c>
      <c r="BA163" s="4">
        <v>51.8</v>
      </c>
      <c r="BB163" s="4">
        <v>0.7</v>
      </c>
      <c r="BC163" s="4" t="s">
        <v>1843</v>
      </c>
      <c r="BD163" s="4" t="s">
        <v>1826</v>
      </c>
      <c r="BE163" s="4" t="s">
        <v>91</v>
      </c>
      <c r="BF163" s="4">
        <v>20.9</v>
      </c>
      <c r="BG163" s="4">
        <v>12.5</v>
      </c>
      <c r="BI163" s="4">
        <v>3</v>
      </c>
      <c r="BK163" s="4">
        <v>15.3</v>
      </c>
      <c r="BL163" s="4" t="s">
        <v>1845</v>
      </c>
      <c r="BM163" s="4" t="s">
        <v>1844</v>
      </c>
    </row>
    <row r="164" spans="4:65">
      <c r="D164" s="17" t="str">
        <f t="shared" si="57"/>
        <v>ErgänzungsfuttermittelKatzeSpurenelementpräparat</v>
      </c>
      <c r="E164" s="4" t="s">
        <v>91</v>
      </c>
      <c r="F164" s="19" t="s">
        <v>90</v>
      </c>
      <c r="G164" s="4" t="s">
        <v>1561</v>
      </c>
      <c r="L164" s="4" t="s">
        <v>563</v>
      </c>
      <c r="M164">
        <f t="shared" si="58"/>
        <v>4.5</v>
      </c>
      <c r="N164">
        <f t="shared" si="59"/>
        <v>3</v>
      </c>
      <c r="P164">
        <f t="shared" si="60"/>
        <v>9.5</v>
      </c>
      <c r="R164">
        <f t="shared" si="61"/>
        <v>22.5</v>
      </c>
      <c r="U164" s="33" t="str">
        <f t="shared" si="52"/>
        <v/>
      </c>
      <c r="X164" s="4">
        <v>2000</v>
      </c>
      <c r="AA164" s="4">
        <v>0.5</v>
      </c>
      <c r="AF164" s="4">
        <f t="shared" si="62"/>
        <v>0</v>
      </c>
      <c r="AL164" s="4">
        <f t="shared" si="54"/>
        <v>0</v>
      </c>
      <c r="BC164" s="4" t="s">
        <v>564</v>
      </c>
      <c r="BD164" s="4" t="s">
        <v>539</v>
      </c>
      <c r="BE164" s="4" t="s">
        <v>91</v>
      </c>
      <c r="BF164" s="4">
        <v>4.5</v>
      </c>
      <c r="BG164" s="4">
        <v>3</v>
      </c>
      <c r="BI164" s="4">
        <v>9.5</v>
      </c>
      <c r="BK164" s="4">
        <v>22.5</v>
      </c>
      <c r="BL164" s="4" t="s">
        <v>566</v>
      </c>
      <c r="BM164" s="4" t="s">
        <v>565</v>
      </c>
    </row>
    <row r="165" spans="4:65">
      <c r="D165" s="17" t="str">
        <f t="shared" si="57"/>
        <v>ErgänzungsfuttermittelKatzeSpurenelementpräparat</v>
      </c>
      <c r="E165" s="4" t="s">
        <v>91</v>
      </c>
      <c r="F165" s="19" t="s">
        <v>90</v>
      </c>
      <c r="G165" s="4" t="s">
        <v>1561</v>
      </c>
      <c r="L165" s="4" t="s">
        <v>2905</v>
      </c>
      <c r="M165">
        <f t="shared" si="58"/>
        <v>6.5</v>
      </c>
      <c r="N165">
        <f t="shared" si="59"/>
        <v>31.4</v>
      </c>
      <c r="P165">
        <f t="shared" si="60"/>
        <v>1</v>
      </c>
      <c r="R165">
        <f t="shared" si="61"/>
        <v>11.3</v>
      </c>
      <c r="U165" s="33" t="str">
        <f t="shared" si="52"/>
        <v/>
      </c>
      <c r="Y165" s="4">
        <v>1900</v>
      </c>
      <c r="AC165" s="4">
        <v>0.28999999999999998</v>
      </c>
      <c r="AF165" s="4">
        <f t="shared" si="62"/>
        <v>0</v>
      </c>
      <c r="AL165" s="4">
        <f t="shared" si="54"/>
        <v>0</v>
      </c>
      <c r="BA165" s="4">
        <v>1314.28</v>
      </c>
      <c r="BB165" s="4">
        <v>0.35</v>
      </c>
      <c r="BC165" s="4" t="s">
        <v>2905</v>
      </c>
      <c r="BD165" s="4" t="s">
        <v>2906</v>
      </c>
      <c r="BE165" s="4" t="s">
        <v>91</v>
      </c>
      <c r="BF165" s="4">
        <v>6.5</v>
      </c>
      <c r="BG165" s="4">
        <v>31.4</v>
      </c>
      <c r="BI165" s="4">
        <v>1</v>
      </c>
      <c r="BK165" s="4">
        <v>11.3</v>
      </c>
      <c r="BL165" s="4" t="s">
        <v>2908</v>
      </c>
      <c r="BM165" s="4" t="s">
        <v>2907</v>
      </c>
    </row>
    <row r="166" spans="4:65">
      <c r="D166" s="17" t="str">
        <f t="shared" si="57"/>
        <v>ErgänzungsfuttermittelKatzeSpurenelementpräparat</v>
      </c>
      <c r="E166" s="4" t="s">
        <v>91</v>
      </c>
      <c r="F166" s="19" t="s">
        <v>90</v>
      </c>
      <c r="G166" s="4" t="s">
        <v>1561</v>
      </c>
      <c r="L166" s="4" t="s">
        <v>2927</v>
      </c>
      <c r="M166">
        <f t="shared" si="58"/>
        <v>4.4000000000000004</v>
      </c>
      <c r="N166">
        <f t="shared" si="59"/>
        <v>14.8</v>
      </c>
      <c r="P166">
        <f t="shared" si="60"/>
        <v>4.5</v>
      </c>
      <c r="R166">
        <f t="shared" si="61"/>
        <v>1.5</v>
      </c>
      <c r="U166" s="33" t="str">
        <f t="shared" si="52"/>
        <v/>
      </c>
      <c r="AB166" s="4">
        <v>57.3</v>
      </c>
      <c r="AD166" s="4">
        <v>1500</v>
      </c>
      <c r="AE166" s="4">
        <v>400</v>
      </c>
      <c r="AF166" s="4">
        <f t="shared" si="62"/>
        <v>0</v>
      </c>
      <c r="AL166" s="4">
        <f t="shared" si="54"/>
        <v>0</v>
      </c>
      <c r="BA166" s="4">
        <v>135.08000000000001</v>
      </c>
      <c r="BB166" s="4">
        <v>5</v>
      </c>
      <c r="BC166" s="4" t="s">
        <v>2928</v>
      </c>
      <c r="BD166" s="4" t="s">
        <v>2906</v>
      </c>
      <c r="BE166" s="4" t="s">
        <v>91</v>
      </c>
      <c r="BF166" s="4">
        <v>4.4000000000000004</v>
      </c>
      <c r="BG166" s="4">
        <v>14.8</v>
      </c>
      <c r="BI166" s="4">
        <v>4.5</v>
      </c>
      <c r="BK166" s="4">
        <v>1.5</v>
      </c>
      <c r="BL166" s="4" t="s">
        <v>2930</v>
      </c>
      <c r="BM166" s="4" t="s">
        <v>2929</v>
      </c>
    </row>
    <row r="167" spans="4:65">
      <c r="D167" s="17" t="str">
        <f t="shared" si="57"/>
        <v>ErgänzungsfuttermittelKatzeSpurenelementpräparat</v>
      </c>
      <c r="E167" s="4" t="s">
        <v>91</v>
      </c>
      <c r="F167" s="19" t="s">
        <v>90</v>
      </c>
      <c r="G167" s="4" t="s">
        <v>1561</v>
      </c>
      <c r="L167" s="4" t="s">
        <v>3106</v>
      </c>
      <c r="M167">
        <f t="shared" si="58"/>
        <v>11</v>
      </c>
      <c r="N167">
        <f t="shared" si="59"/>
        <v>19.899999999999999</v>
      </c>
      <c r="P167">
        <f t="shared" si="60"/>
        <v>6</v>
      </c>
      <c r="R167">
        <f t="shared" si="61"/>
        <v>7.2</v>
      </c>
      <c r="U167" s="33" t="str">
        <f t="shared" si="52"/>
        <v/>
      </c>
      <c r="W167" s="4">
        <v>660</v>
      </c>
      <c r="X167" s="4">
        <v>1330</v>
      </c>
      <c r="Z167" s="4">
        <v>50.7</v>
      </c>
      <c r="AF167" s="4">
        <f t="shared" si="62"/>
        <v>0</v>
      </c>
      <c r="AL167" s="4">
        <f t="shared" si="54"/>
        <v>0</v>
      </c>
      <c r="BA167" s="4">
        <v>225.52</v>
      </c>
      <c r="BB167" s="4">
        <v>5.5</v>
      </c>
      <c r="BC167" s="4" t="s">
        <v>3106</v>
      </c>
      <c r="BD167" s="4" t="s">
        <v>100</v>
      </c>
      <c r="BE167" s="4" t="s">
        <v>91</v>
      </c>
      <c r="BF167" s="4">
        <v>11</v>
      </c>
      <c r="BG167" s="4">
        <v>19.899999999999999</v>
      </c>
      <c r="BI167" s="4">
        <v>6</v>
      </c>
      <c r="BK167" s="4">
        <v>7.2</v>
      </c>
      <c r="BL167" s="4" t="s">
        <v>3108</v>
      </c>
      <c r="BM167" s="4" t="s">
        <v>3107</v>
      </c>
    </row>
    <row r="168" spans="4:65">
      <c r="D168" s="17" t="str">
        <f t="shared" si="57"/>
        <v>ErgänzungsfuttermittelKatzeSpurenelementpräparat</v>
      </c>
      <c r="E168" s="4" t="s">
        <v>91</v>
      </c>
      <c r="F168" s="19" t="s">
        <v>90</v>
      </c>
      <c r="G168" s="4" t="s">
        <v>1561</v>
      </c>
      <c r="L168" s="4" t="s">
        <v>3177</v>
      </c>
      <c r="M168">
        <f t="shared" si="58"/>
        <v>0.8</v>
      </c>
      <c r="N168">
        <f t="shared" si="59"/>
        <v>0.8</v>
      </c>
      <c r="P168">
        <f t="shared" si="60"/>
        <v>0.8</v>
      </c>
      <c r="R168">
        <f t="shared" si="61"/>
        <v>0</v>
      </c>
      <c r="U168" s="33" t="str">
        <f t="shared" si="52"/>
        <v/>
      </c>
      <c r="AB168" s="4">
        <v>12</v>
      </c>
      <c r="AF168" s="4">
        <f t="shared" si="62"/>
        <v>0</v>
      </c>
      <c r="AL168" s="4">
        <f t="shared" si="54"/>
        <v>0</v>
      </c>
      <c r="BC168" s="4" t="s">
        <v>3177</v>
      </c>
      <c r="BD168" s="4" t="s">
        <v>100</v>
      </c>
      <c r="BE168" s="4" t="s">
        <v>91</v>
      </c>
      <c r="BF168" s="4">
        <v>0.8</v>
      </c>
      <c r="BG168" s="4">
        <v>0.8</v>
      </c>
      <c r="BI168" s="4">
        <v>0.8</v>
      </c>
      <c r="BK168" s="4">
        <v>0</v>
      </c>
      <c r="BL168" s="4" t="s">
        <v>3179</v>
      </c>
      <c r="BM168" s="4" t="s">
        <v>3178</v>
      </c>
    </row>
    <row r="169" spans="4:65">
      <c r="D169" s="17"/>
      <c r="F169" s="19"/>
      <c r="U169" s="33" t="str">
        <f t="shared" si="52"/>
        <v/>
      </c>
      <c r="AF169" s="4">
        <f t="shared" si="62"/>
        <v>0</v>
      </c>
      <c r="AL169" s="4">
        <f t="shared" si="54"/>
        <v>0</v>
      </c>
    </row>
    <row r="170" spans="4:65">
      <c r="D170" s="17" t="str">
        <f t="shared" ref="D170:D201" si="63">E170&amp;""&amp;F170&amp;""&amp;G170&amp;""&amp;H170</f>
        <v>ErgänzungsfuttermittelKatzeVitaminpräparat</v>
      </c>
      <c r="E170" s="4" t="s">
        <v>91</v>
      </c>
      <c r="F170" s="19" t="s">
        <v>90</v>
      </c>
      <c r="G170" s="4" t="s">
        <v>124</v>
      </c>
      <c r="L170" s="4" t="s">
        <v>2904</v>
      </c>
      <c r="M170">
        <f t="shared" ref="M170:M201" si="64">BF170</f>
        <v>6</v>
      </c>
      <c r="N170">
        <f t="shared" ref="N170:N201" si="65">BG170</f>
        <v>7</v>
      </c>
      <c r="P170">
        <f t="shared" ref="P170:P201" si="66">BI170</f>
        <v>35</v>
      </c>
      <c r="R170">
        <f t="shared" ref="R170:R201" si="67">BK170</f>
        <v>2</v>
      </c>
      <c r="U170" s="33" t="str">
        <f t="shared" si="52"/>
        <v/>
      </c>
      <c r="AF170" s="4">
        <f t="shared" si="62"/>
        <v>0</v>
      </c>
      <c r="AL170" s="4">
        <f t="shared" si="54"/>
        <v>0</v>
      </c>
      <c r="AN170" s="4">
        <v>112.5</v>
      </c>
      <c r="AO170" s="4">
        <v>13.3</v>
      </c>
      <c r="AP170" s="4">
        <v>10</v>
      </c>
      <c r="AQ170" s="4">
        <v>6.7</v>
      </c>
      <c r="AR170" s="4">
        <v>46.7</v>
      </c>
      <c r="BA170" s="4">
        <v>99.8</v>
      </c>
      <c r="BB170" s="4">
        <v>3</v>
      </c>
      <c r="BC170" s="4" t="s">
        <v>581</v>
      </c>
      <c r="BD170" s="4" t="s">
        <v>578</v>
      </c>
      <c r="BE170" s="4" t="s">
        <v>91</v>
      </c>
      <c r="BF170" s="4">
        <v>6</v>
      </c>
      <c r="BG170" s="4">
        <v>7</v>
      </c>
      <c r="BI170" s="4">
        <v>35</v>
      </c>
      <c r="BK170" s="4">
        <v>2</v>
      </c>
      <c r="BL170" s="4" t="s">
        <v>583</v>
      </c>
      <c r="BM170" s="4" t="s">
        <v>582</v>
      </c>
    </row>
    <row r="171" spans="4:65">
      <c r="D171" s="17" t="str">
        <f t="shared" si="63"/>
        <v>ErgänzungsfuttermittelKatzeVitaminpräparat</v>
      </c>
      <c r="E171" s="4" t="s">
        <v>91</v>
      </c>
      <c r="F171" s="19" t="s">
        <v>90</v>
      </c>
      <c r="G171" s="4" t="s">
        <v>124</v>
      </c>
      <c r="L171" s="4" t="s">
        <v>2094</v>
      </c>
      <c r="M171">
        <f t="shared" si="64"/>
        <v>3.4</v>
      </c>
      <c r="N171">
        <f t="shared" si="65"/>
        <v>23.1</v>
      </c>
      <c r="P171">
        <f t="shared" si="66"/>
        <v>4.3</v>
      </c>
      <c r="R171">
        <f t="shared" si="67"/>
        <v>1</v>
      </c>
      <c r="S171" s="4">
        <v>80</v>
      </c>
      <c r="T171" s="4">
        <v>330</v>
      </c>
      <c r="U171" s="33">
        <f t="shared" si="52"/>
        <v>0.24242424242424243</v>
      </c>
      <c r="X171" s="4">
        <v>70</v>
      </c>
      <c r="AF171" s="4">
        <f t="shared" si="62"/>
        <v>0</v>
      </c>
      <c r="AL171" s="4">
        <f t="shared" si="54"/>
        <v>0</v>
      </c>
      <c r="AW171" s="4">
        <v>12900</v>
      </c>
      <c r="BA171" s="4">
        <v>228</v>
      </c>
      <c r="BB171" s="4">
        <v>0.5</v>
      </c>
      <c r="BC171" s="4" t="s">
        <v>2091</v>
      </c>
      <c r="BD171" s="4" t="s">
        <v>2020</v>
      </c>
      <c r="BE171" s="4" t="s">
        <v>91</v>
      </c>
      <c r="BF171" s="4">
        <v>3.4</v>
      </c>
      <c r="BG171" s="4">
        <v>23.1</v>
      </c>
      <c r="BI171" s="4">
        <v>4.3</v>
      </c>
      <c r="BK171" s="4">
        <v>1</v>
      </c>
      <c r="BL171" s="4" t="s">
        <v>2093</v>
      </c>
      <c r="BM171" s="4" t="s">
        <v>2092</v>
      </c>
    </row>
    <row r="172" spans="4:65">
      <c r="D172" s="17" t="str">
        <f t="shared" si="63"/>
        <v>ErgänzungsfuttermittelKatzeVitaminpräparat</v>
      </c>
      <c r="E172" s="4" t="s">
        <v>91</v>
      </c>
      <c r="F172" s="19" t="s">
        <v>90</v>
      </c>
      <c r="G172" s="4" t="s">
        <v>124</v>
      </c>
      <c r="L172" s="4" t="s">
        <v>2463</v>
      </c>
      <c r="M172">
        <f t="shared" si="64"/>
        <v>6</v>
      </c>
      <c r="N172">
        <f t="shared" si="65"/>
        <v>5.7</v>
      </c>
      <c r="P172">
        <f t="shared" si="66"/>
        <v>4.3</v>
      </c>
      <c r="R172">
        <f t="shared" si="67"/>
        <v>3.5</v>
      </c>
      <c r="S172" s="4">
        <v>1800</v>
      </c>
      <c r="T172" s="4">
        <v>900</v>
      </c>
      <c r="U172" s="33">
        <f t="shared" si="52"/>
        <v>2</v>
      </c>
      <c r="X172" s="4">
        <v>100</v>
      </c>
      <c r="AF172" s="4">
        <f t="shared" si="62"/>
        <v>0</v>
      </c>
      <c r="AL172" s="4">
        <f t="shared" si="54"/>
        <v>0</v>
      </c>
      <c r="AW172" s="4">
        <v>1.5</v>
      </c>
      <c r="BA172" s="4">
        <v>503.2</v>
      </c>
      <c r="BB172" s="4">
        <v>0.67500000000000004</v>
      </c>
      <c r="BC172" s="4" t="s">
        <v>2463</v>
      </c>
      <c r="BD172" s="4" t="s">
        <v>2464</v>
      </c>
      <c r="BE172" s="4" t="s">
        <v>91</v>
      </c>
      <c r="BF172" s="4">
        <v>6</v>
      </c>
      <c r="BG172" s="4">
        <v>5.7</v>
      </c>
      <c r="BI172" s="4">
        <v>4.3</v>
      </c>
      <c r="BK172" s="4">
        <v>3.5</v>
      </c>
      <c r="BL172" s="4" t="s">
        <v>2465</v>
      </c>
      <c r="BM172" s="4" t="s">
        <v>2467</v>
      </c>
    </row>
    <row r="173" spans="4:65">
      <c r="D173" s="17" t="str">
        <f t="shared" si="63"/>
        <v>ErgänzungsfuttermittelKatzeVitaminpräparat</v>
      </c>
      <c r="E173" s="4" t="s">
        <v>91</v>
      </c>
      <c r="F173" s="19" t="s">
        <v>90</v>
      </c>
      <c r="G173" s="4" t="s">
        <v>124</v>
      </c>
      <c r="L173" s="4" t="s">
        <v>2494</v>
      </c>
      <c r="M173">
        <f t="shared" si="64"/>
        <v>9.1</v>
      </c>
      <c r="N173">
        <f t="shared" si="65"/>
        <v>31.5</v>
      </c>
      <c r="P173">
        <f t="shared" si="66"/>
        <v>6.8</v>
      </c>
      <c r="R173">
        <f t="shared" si="67"/>
        <v>10.4</v>
      </c>
      <c r="U173" s="33" t="str">
        <f t="shared" si="52"/>
        <v/>
      </c>
      <c r="AF173" s="4">
        <f t="shared" si="62"/>
        <v>0</v>
      </c>
      <c r="AL173" s="4">
        <f t="shared" si="54"/>
        <v>0</v>
      </c>
      <c r="AN173" s="4">
        <v>3040</v>
      </c>
      <c r="AW173" s="4">
        <v>4050</v>
      </c>
      <c r="BC173" s="4" t="s">
        <v>2494</v>
      </c>
      <c r="BD173" s="4" t="s">
        <v>1767</v>
      </c>
      <c r="BE173" s="4" t="s">
        <v>91</v>
      </c>
      <c r="BF173" s="4">
        <v>9.1</v>
      </c>
      <c r="BG173" s="4">
        <v>31.5</v>
      </c>
      <c r="BI173" s="4">
        <v>6.8</v>
      </c>
      <c r="BK173" s="4">
        <v>10.4</v>
      </c>
      <c r="BL173" s="4" t="s">
        <v>2495</v>
      </c>
      <c r="BM173" s="4" t="s">
        <v>2496</v>
      </c>
    </row>
    <row r="174" spans="4:65">
      <c r="D174" s="17" t="str">
        <f t="shared" si="63"/>
        <v>ErgänzungsfuttermittelKatzeVitaminpräparat</v>
      </c>
      <c r="E174" s="4" t="s">
        <v>91</v>
      </c>
      <c r="F174" s="19" t="s">
        <v>90</v>
      </c>
      <c r="G174" s="4" t="s">
        <v>124</v>
      </c>
      <c r="L174" s="4" t="s">
        <v>2776</v>
      </c>
      <c r="M174">
        <f t="shared" si="64"/>
        <v>0.5</v>
      </c>
      <c r="N174">
        <f t="shared" si="65"/>
        <v>0.5</v>
      </c>
      <c r="P174">
        <f t="shared" si="66"/>
        <v>0.5</v>
      </c>
      <c r="R174">
        <f t="shared" si="67"/>
        <v>0</v>
      </c>
      <c r="U174" s="33" t="str">
        <f t="shared" si="52"/>
        <v/>
      </c>
      <c r="AF174" s="4">
        <f t="shared" si="62"/>
        <v>0</v>
      </c>
      <c r="AL174" s="4">
        <f t="shared" si="54"/>
        <v>0</v>
      </c>
      <c r="AN174" s="4">
        <v>75</v>
      </c>
      <c r="BA174" s="4">
        <v>239.36</v>
      </c>
      <c r="BB174" s="4">
        <v>1</v>
      </c>
      <c r="BC174" s="4" t="s">
        <v>2776</v>
      </c>
      <c r="BD174" s="4" t="s">
        <v>2770</v>
      </c>
      <c r="BE174" s="4" t="s">
        <v>91</v>
      </c>
      <c r="BF174" s="4">
        <v>0.5</v>
      </c>
      <c r="BG174" s="4">
        <v>0.5</v>
      </c>
      <c r="BI174" s="4">
        <v>0.5</v>
      </c>
      <c r="BL174" s="4" t="s">
        <v>2778</v>
      </c>
      <c r="BM174" s="4" t="s">
        <v>2777</v>
      </c>
    </row>
    <row r="175" spans="4:65">
      <c r="D175" s="17" t="str">
        <f t="shared" si="63"/>
        <v>ErgänzungsfuttermittelKatzeVitaminpräparat</v>
      </c>
      <c r="E175" s="4" t="s">
        <v>91</v>
      </c>
      <c r="F175" s="19" t="s">
        <v>90</v>
      </c>
      <c r="G175" s="4" t="s">
        <v>124</v>
      </c>
      <c r="L175" s="4" t="s">
        <v>2779</v>
      </c>
      <c r="M175">
        <f t="shared" si="64"/>
        <v>17.350000000000001</v>
      </c>
      <c r="N175">
        <f t="shared" si="65"/>
        <v>6.37</v>
      </c>
      <c r="P175">
        <f t="shared" si="66"/>
        <v>4.18</v>
      </c>
      <c r="R175">
        <f t="shared" si="67"/>
        <v>5.4</v>
      </c>
      <c r="T175" s="4">
        <v>110</v>
      </c>
      <c r="U175" s="33" t="str">
        <f t="shared" si="52"/>
        <v/>
      </c>
      <c r="X175" s="4">
        <v>140</v>
      </c>
      <c r="AF175" s="4">
        <f t="shared" si="62"/>
        <v>0</v>
      </c>
      <c r="AL175" s="4">
        <f t="shared" si="54"/>
        <v>0</v>
      </c>
      <c r="AN175" s="4">
        <v>2000</v>
      </c>
      <c r="BA175" s="4">
        <v>1506.67</v>
      </c>
      <c r="BB175" s="4">
        <v>0.8</v>
      </c>
      <c r="BC175" s="4" t="s">
        <v>2779</v>
      </c>
      <c r="BD175" s="4" t="s">
        <v>2770</v>
      </c>
      <c r="BE175" s="4" t="s">
        <v>91</v>
      </c>
      <c r="BF175" s="4">
        <v>17.350000000000001</v>
      </c>
      <c r="BG175" s="4">
        <v>6.37</v>
      </c>
      <c r="BI175" s="4">
        <v>4.18</v>
      </c>
      <c r="BK175" s="4">
        <v>5.4</v>
      </c>
      <c r="BL175" s="4" t="s">
        <v>2781</v>
      </c>
      <c r="BM175" s="4" t="s">
        <v>2780</v>
      </c>
    </row>
    <row r="176" spans="4:65">
      <c r="D176" s="17" t="str">
        <f t="shared" si="63"/>
        <v>ErgänzungsfuttermittelKatzeVitaminpräparat</v>
      </c>
      <c r="E176" s="4" t="s">
        <v>91</v>
      </c>
      <c r="F176" s="19" t="s">
        <v>90</v>
      </c>
      <c r="G176" s="4" t="s">
        <v>124</v>
      </c>
      <c r="L176" s="4" t="s">
        <v>2782</v>
      </c>
      <c r="M176">
        <f t="shared" si="64"/>
        <v>17.350000000000001</v>
      </c>
      <c r="N176">
        <f t="shared" si="65"/>
        <v>6.37</v>
      </c>
      <c r="P176">
        <f t="shared" si="66"/>
        <v>4.18</v>
      </c>
      <c r="R176">
        <f t="shared" si="67"/>
        <v>5.4</v>
      </c>
      <c r="T176" s="4">
        <v>110</v>
      </c>
      <c r="U176" s="33" t="str">
        <f t="shared" si="52"/>
        <v/>
      </c>
      <c r="X176" s="4">
        <v>140</v>
      </c>
      <c r="AF176" s="4">
        <f t="shared" si="62"/>
        <v>0</v>
      </c>
      <c r="AL176" s="4">
        <f t="shared" si="54"/>
        <v>0</v>
      </c>
      <c r="AN176" s="4">
        <v>2000</v>
      </c>
      <c r="BA176" s="4">
        <v>624.99</v>
      </c>
      <c r="BB176" s="4">
        <v>0.48</v>
      </c>
      <c r="BC176" s="4" t="s">
        <v>2782</v>
      </c>
      <c r="BD176" s="4" t="s">
        <v>2770</v>
      </c>
      <c r="BE176" s="4" t="s">
        <v>91</v>
      </c>
      <c r="BF176" s="4">
        <v>17.350000000000001</v>
      </c>
      <c r="BG176" s="4">
        <v>6.37</v>
      </c>
      <c r="BI176" s="4">
        <v>4.18</v>
      </c>
      <c r="BK176" s="4">
        <v>5.4</v>
      </c>
      <c r="BL176" s="4" t="s">
        <v>2781</v>
      </c>
      <c r="BM176" s="4" t="s">
        <v>2783</v>
      </c>
    </row>
    <row r="177" spans="4:65">
      <c r="D177" s="17" t="str">
        <f t="shared" si="63"/>
        <v>ErgänzungsfuttermittelKatzeVitaminpräparat</v>
      </c>
      <c r="E177" s="4" t="s">
        <v>91</v>
      </c>
      <c r="F177" s="19" t="s">
        <v>90</v>
      </c>
      <c r="G177" s="4" t="s">
        <v>124</v>
      </c>
      <c r="L177" s="4" t="s">
        <v>534</v>
      </c>
      <c r="M177">
        <f t="shared" si="64"/>
        <v>6</v>
      </c>
      <c r="N177">
        <f t="shared" si="65"/>
        <v>9</v>
      </c>
      <c r="P177">
        <f t="shared" si="66"/>
        <v>36.5</v>
      </c>
      <c r="Q177"/>
      <c r="R177">
        <f t="shared" si="67"/>
        <v>1.5</v>
      </c>
      <c r="U177" s="33" t="str">
        <f t="shared" si="52"/>
        <v/>
      </c>
      <c r="AF177" s="4">
        <f t="shared" si="62"/>
        <v>0</v>
      </c>
      <c r="AL177" s="4">
        <f t="shared" si="54"/>
        <v>0</v>
      </c>
      <c r="AO177" s="4">
        <v>13.3</v>
      </c>
      <c r="AP177" s="4">
        <v>10</v>
      </c>
      <c r="AQ177" s="4">
        <v>6.7</v>
      </c>
      <c r="AR177" s="4">
        <v>46.7</v>
      </c>
      <c r="BA177" s="4">
        <v>135.44999999999999</v>
      </c>
      <c r="BB177" s="4">
        <v>3</v>
      </c>
      <c r="BC177" s="4" t="s">
        <v>125</v>
      </c>
      <c r="BD177" s="4" t="s">
        <v>105</v>
      </c>
      <c r="BE177" s="4" t="s">
        <v>91</v>
      </c>
      <c r="BF177" s="4">
        <v>6</v>
      </c>
      <c r="BG177" s="4">
        <v>9</v>
      </c>
      <c r="BI177" s="4">
        <v>36.5</v>
      </c>
      <c r="BK177" s="4">
        <v>1.5</v>
      </c>
      <c r="BL177" s="4" t="s">
        <v>126</v>
      </c>
      <c r="BM177" s="4" t="s">
        <v>127</v>
      </c>
    </row>
    <row r="178" spans="4:65">
      <c r="D178" s="17" t="str">
        <f t="shared" si="63"/>
        <v>ErgänzungsfuttermittelKatzeVitaminpräparat</v>
      </c>
      <c r="E178" s="4" t="s">
        <v>91</v>
      </c>
      <c r="F178" s="19" t="s">
        <v>90</v>
      </c>
      <c r="G178" s="4" t="s">
        <v>124</v>
      </c>
      <c r="L178" s="4" t="s">
        <v>155</v>
      </c>
      <c r="M178">
        <f t="shared" si="64"/>
        <v>5.5</v>
      </c>
      <c r="N178">
        <f t="shared" si="65"/>
        <v>5</v>
      </c>
      <c r="P178">
        <f t="shared" si="66"/>
        <v>37.5</v>
      </c>
      <c r="Q178"/>
      <c r="R178">
        <f t="shared" si="67"/>
        <v>2</v>
      </c>
      <c r="U178" s="33" t="str">
        <f t="shared" si="52"/>
        <v/>
      </c>
      <c r="AF178" s="4">
        <f t="shared" si="62"/>
        <v>0</v>
      </c>
      <c r="AL178" s="4">
        <f t="shared" si="54"/>
        <v>0</v>
      </c>
      <c r="AO178" s="4">
        <v>0.8</v>
      </c>
      <c r="AP178" s="4">
        <v>0.6</v>
      </c>
      <c r="AQ178" s="4">
        <v>0.4</v>
      </c>
      <c r="AR178" s="4">
        <v>28</v>
      </c>
      <c r="BA178" s="4">
        <v>171.82</v>
      </c>
      <c r="BB178" s="4">
        <v>3</v>
      </c>
      <c r="BC178" s="4" t="s">
        <v>155</v>
      </c>
      <c r="BD178" s="4" t="s">
        <v>105</v>
      </c>
      <c r="BE178" s="4" t="s">
        <v>91</v>
      </c>
      <c r="BF178" s="4">
        <v>5.5</v>
      </c>
      <c r="BG178" s="4">
        <v>5</v>
      </c>
      <c r="BI178" s="4">
        <v>37.5</v>
      </c>
      <c r="BK178" s="4">
        <v>2</v>
      </c>
      <c r="BL178" s="4" t="s">
        <v>156</v>
      </c>
      <c r="BM178" s="4" t="s">
        <v>157</v>
      </c>
    </row>
    <row r="179" spans="4:65">
      <c r="D179" s="17" t="str">
        <f t="shared" si="63"/>
        <v>ErgänzungsfuttermittelKatzeVitaminpräparat</v>
      </c>
      <c r="E179" s="4" t="s">
        <v>91</v>
      </c>
      <c r="F179" s="19" t="s">
        <v>90</v>
      </c>
      <c r="G179" s="4" t="s">
        <v>124</v>
      </c>
      <c r="L179" s="4" t="s">
        <v>192</v>
      </c>
      <c r="M179">
        <f t="shared" si="64"/>
        <v>9.1</v>
      </c>
      <c r="N179">
        <f t="shared" si="65"/>
        <v>43.2</v>
      </c>
      <c r="O179"/>
      <c r="P179">
        <f t="shared" si="66"/>
        <v>5</v>
      </c>
      <c r="Q179"/>
      <c r="R179">
        <f t="shared" si="67"/>
        <v>6.9</v>
      </c>
      <c r="S179" s="4">
        <v>2100</v>
      </c>
      <c r="T179" s="4">
        <v>1800</v>
      </c>
      <c r="U179" s="33">
        <f t="shared" si="52"/>
        <v>1.1666666666666667</v>
      </c>
      <c r="AF179" s="4">
        <f t="shared" si="62"/>
        <v>0</v>
      </c>
      <c r="AL179" s="4">
        <f t="shared" si="54"/>
        <v>0</v>
      </c>
      <c r="AZ179" s="4">
        <v>5000</v>
      </c>
      <c r="BA179" s="4">
        <v>257</v>
      </c>
      <c r="BB179" s="4" t="s">
        <v>195</v>
      </c>
      <c r="BC179" s="4" t="s">
        <v>192</v>
      </c>
      <c r="BD179" s="4" t="s">
        <v>105</v>
      </c>
      <c r="BE179" s="4" t="s">
        <v>91</v>
      </c>
      <c r="BF179" s="4">
        <v>9.1</v>
      </c>
      <c r="BG179" s="4">
        <v>43.2</v>
      </c>
      <c r="BI179" s="4">
        <v>5</v>
      </c>
      <c r="BK179" s="4">
        <v>6.9</v>
      </c>
      <c r="BL179" s="4" t="s">
        <v>193</v>
      </c>
      <c r="BM179" s="4" t="s">
        <v>194</v>
      </c>
    </row>
    <row r="180" spans="4:65">
      <c r="D180" s="17" t="str">
        <f t="shared" si="63"/>
        <v>ErgänzungsfuttermittelKatzeVitaminpräparat</v>
      </c>
      <c r="E180" s="4" t="s">
        <v>91</v>
      </c>
      <c r="F180" s="19" t="s">
        <v>90</v>
      </c>
      <c r="G180" s="4" t="s">
        <v>124</v>
      </c>
      <c r="L180" s="4" t="s">
        <v>135</v>
      </c>
      <c r="M180">
        <f t="shared" si="64"/>
        <v>11.3</v>
      </c>
      <c r="N180">
        <f t="shared" si="65"/>
        <v>35.5</v>
      </c>
      <c r="P180">
        <f t="shared" si="66"/>
        <v>5.5</v>
      </c>
      <c r="Q180"/>
      <c r="R180">
        <f t="shared" si="67"/>
        <v>6.3</v>
      </c>
      <c r="S180" s="4">
        <v>2400</v>
      </c>
      <c r="T180" s="4">
        <v>2000</v>
      </c>
      <c r="U180" s="33">
        <f t="shared" si="52"/>
        <v>1.2</v>
      </c>
      <c r="AF180" s="4">
        <f t="shared" si="62"/>
        <v>690</v>
      </c>
      <c r="AG180" s="4">
        <v>2300</v>
      </c>
      <c r="AK180" s="4">
        <v>200</v>
      </c>
      <c r="AL180" s="4">
        <f t="shared" si="54"/>
        <v>5</v>
      </c>
      <c r="AN180" s="4">
        <v>23.5</v>
      </c>
      <c r="AO180" s="4">
        <v>1.62</v>
      </c>
      <c r="AP180" s="4">
        <v>4</v>
      </c>
      <c r="AQ180" s="4">
        <v>1.5</v>
      </c>
      <c r="AR180" s="4">
        <v>50</v>
      </c>
      <c r="AT180" s="4">
        <v>30</v>
      </c>
      <c r="AU180" s="4">
        <v>20</v>
      </c>
      <c r="AV180" s="4">
        <v>600</v>
      </c>
      <c r="AW180" s="4">
        <v>2000</v>
      </c>
      <c r="BA180" s="4">
        <v>280.44</v>
      </c>
      <c r="BB180" s="4" t="s">
        <v>138</v>
      </c>
      <c r="BC180" s="4" t="s">
        <v>135</v>
      </c>
      <c r="BD180" s="4" t="s">
        <v>105</v>
      </c>
      <c r="BE180" s="4" t="s">
        <v>91</v>
      </c>
      <c r="BF180" s="4">
        <v>11.3</v>
      </c>
      <c r="BG180" s="4">
        <v>35.5</v>
      </c>
      <c r="BI180" s="4">
        <v>5.5</v>
      </c>
      <c r="BK180" s="4">
        <v>6.3</v>
      </c>
      <c r="BL180" s="4" t="s">
        <v>136</v>
      </c>
      <c r="BM180" s="4" t="s">
        <v>137</v>
      </c>
    </row>
    <row r="181" spans="4:65">
      <c r="D181" s="17" t="str">
        <f t="shared" si="63"/>
        <v>ErgänzungsfuttermittelKatzeVitaminpräparat</v>
      </c>
      <c r="E181" s="4" t="s">
        <v>91</v>
      </c>
      <c r="F181" s="19" t="s">
        <v>90</v>
      </c>
      <c r="G181" s="4" t="s">
        <v>124</v>
      </c>
      <c r="L181" s="4" t="s">
        <v>235</v>
      </c>
      <c r="M181">
        <f t="shared" si="64"/>
        <v>6.87</v>
      </c>
      <c r="N181">
        <f t="shared" si="65"/>
        <v>2.27</v>
      </c>
      <c r="P181">
        <f t="shared" si="66"/>
        <v>16.54</v>
      </c>
      <c r="R181">
        <f t="shared" si="67"/>
        <v>1.72</v>
      </c>
      <c r="U181" s="33" t="str">
        <f t="shared" si="52"/>
        <v/>
      </c>
      <c r="W181" s="4">
        <v>380</v>
      </c>
      <c r="X181" s="4">
        <v>1360</v>
      </c>
      <c r="AF181" s="4">
        <f t="shared" si="62"/>
        <v>0</v>
      </c>
      <c r="AL181" s="4">
        <f t="shared" si="54"/>
        <v>0</v>
      </c>
      <c r="AN181" s="4">
        <v>45</v>
      </c>
      <c r="AO181" s="4">
        <v>78.400000000000006</v>
      </c>
      <c r="AP181" s="4">
        <v>60</v>
      </c>
      <c r="AV181" s="4">
        <v>78400</v>
      </c>
      <c r="BA181" s="4">
        <v>1322.67</v>
      </c>
      <c r="BC181" s="4" t="s">
        <v>236</v>
      </c>
      <c r="BD181" s="4" t="s">
        <v>237</v>
      </c>
      <c r="BE181" s="4" t="s">
        <v>91</v>
      </c>
      <c r="BF181" s="4">
        <v>6.87</v>
      </c>
      <c r="BG181" s="4">
        <v>2.27</v>
      </c>
      <c r="BI181" s="4">
        <v>16.54</v>
      </c>
      <c r="BK181" s="4">
        <v>1.72</v>
      </c>
      <c r="BL181" s="4" t="s">
        <v>238</v>
      </c>
      <c r="BM181" s="4" t="s">
        <v>239</v>
      </c>
    </row>
    <row r="182" spans="4:65">
      <c r="D182" s="17" t="str">
        <f t="shared" si="63"/>
        <v>ErgänzungsfuttermittelKatzeVitaminpräparat</v>
      </c>
      <c r="E182" s="4" t="s">
        <v>91</v>
      </c>
      <c r="F182" s="19" t="s">
        <v>90</v>
      </c>
      <c r="G182" s="4" t="s">
        <v>124</v>
      </c>
      <c r="L182" s="4" t="s">
        <v>588</v>
      </c>
      <c r="M182">
        <f t="shared" si="64"/>
        <v>5.5</v>
      </c>
      <c r="N182">
        <f t="shared" si="65"/>
        <v>6</v>
      </c>
      <c r="P182">
        <f t="shared" si="66"/>
        <v>35.5</v>
      </c>
      <c r="R182">
        <f t="shared" si="67"/>
        <v>2.5</v>
      </c>
      <c r="U182" s="33" t="str">
        <f t="shared" si="52"/>
        <v/>
      </c>
      <c r="AF182" s="4">
        <f t="shared" si="62"/>
        <v>0</v>
      </c>
      <c r="AK182" s="4">
        <v>114.7</v>
      </c>
      <c r="AL182" s="4">
        <f t="shared" si="54"/>
        <v>2.8675000000000002</v>
      </c>
      <c r="AN182" s="4">
        <v>166</v>
      </c>
      <c r="AO182" s="4">
        <v>2.7</v>
      </c>
      <c r="AP182" s="4">
        <v>2</v>
      </c>
      <c r="AQ182" s="4">
        <v>1.3</v>
      </c>
      <c r="AR182" s="4">
        <v>9.3000000000000007</v>
      </c>
      <c r="AS182" s="4">
        <v>179.9</v>
      </c>
      <c r="AT182" s="4">
        <v>93.7</v>
      </c>
      <c r="AU182" s="4">
        <v>15</v>
      </c>
      <c r="AV182" s="4">
        <v>18000</v>
      </c>
      <c r="AX182" s="4">
        <v>0.1</v>
      </c>
      <c r="AY182" s="4">
        <v>266</v>
      </c>
      <c r="AZ182" s="4">
        <v>200</v>
      </c>
      <c r="BA182" s="4">
        <v>42.45</v>
      </c>
      <c r="BB182" s="4">
        <v>3</v>
      </c>
      <c r="BC182" s="4" t="s">
        <v>589</v>
      </c>
      <c r="BD182" s="4" t="s">
        <v>578</v>
      </c>
      <c r="BE182" s="4" t="s">
        <v>91</v>
      </c>
      <c r="BF182" s="4">
        <v>5.5</v>
      </c>
      <c r="BG182" s="4">
        <v>6</v>
      </c>
      <c r="BI182" s="4">
        <v>35.5</v>
      </c>
      <c r="BK182" s="4">
        <v>2.5</v>
      </c>
      <c r="BL182" s="4" t="s">
        <v>591</v>
      </c>
      <c r="BM182" s="4" t="s">
        <v>590</v>
      </c>
    </row>
    <row r="183" spans="4:65">
      <c r="D183" s="17" t="str">
        <f t="shared" si="63"/>
        <v>ErgänzungsfuttermittelKatzeVitaminpräparat</v>
      </c>
      <c r="E183" s="4" t="s">
        <v>91</v>
      </c>
      <c r="F183" s="19" t="s">
        <v>90</v>
      </c>
      <c r="G183" s="4" t="s">
        <v>124</v>
      </c>
      <c r="L183" s="4" t="s">
        <v>592</v>
      </c>
      <c r="M183">
        <f t="shared" si="64"/>
        <v>10.5</v>
      </c>
      <c r="N183">
        <f t="shared" si="65"/>
        <v>7</v>
      </c>
      <c r="P183">
        <f t="shared" si="66"/>
        <v>35.5</v>
      </c>
      <c r="R183">
        <f t="shared" si="67"/>
        <v>2</v>
      </c>
      <c r="S183" s="4">
        <v>2000</v>
      </c>
      <c r="T183" s="4">
        <v>1000</v>
      </c>
      <c r="U183" s="33">
        <f t="shared" si="52"/>
        <v>2</v>
      </c>
      <c r="AF183" s="4">
        <f t="shared" si="62"/>
        <v>0</v>
      </c>
      <c r="AK183" s="4">
        <v>57.3</v>
      </c>
      <c r="AL183" s="4">
        <f t="shared" si="54"/>
        <v>1.4325000000000001</v>
      </c>
      <c r="AN183" s="4">
        <v>158</v>
      </c>
      <c r="AO183" s="4">
        <v>1.3</v>
      </c>
      <c r="AP183" s="4">
        <v>1</v>
      </c>
      <c r="AQ183" s="4">
        <v>0.7</v>
      </c>
      <c r="AR183" s="4">
        <v>4.7</v>
      </c>
      <c r="AS183" s="4">
        <v>90</v>
      </c>
      <c r="AT183" s="4">
        <v>46.9</v>
      </c>
      <c r="AU183" s="4">
        <v>7.5</v>
      </c>
      <c r="AV183" s="4">
        <v>9000</v>
      </c>
      <c r="AW183" s="4">
        <v>5</v>
      </c>
      <c r="AX183" s="4">
        <v>0.1</v>
      </c>
      <c r="AY183" s="4">
        <v>133</v>
      </c>
      <c r="AZ183" s="4">
        <v>200</v>
      </c>
      <c r="BA183" s="4">
        <v>97.8</v>
      </c>
      <c r="BB183" s="4">
        <v>3</v>
      </c>
      <c r="BC183" s="4" t="s">
        <v>595</v>
      </c>
      <c r="BD183" s="4" t="s">
        <v>578</v>
      </c>
      <c r="BE183" s="4" t="s">
        <v>91</v>
      </c>
      <c r="BF183" s="4">
        <v>10.5</v>
      </c>
      <c r="BG183" s="4">
        <v>7</v>
      </c>
      <c r="BI183" s="4">
        <v>35.5</v>
      </c>
      <c r="BK183" s="4">
        <v>2</v>
      </c>
      <c r="BL183" s="4" t="s">
        <v>594</v>
      </c>
      <c r="BM183" s="4" t="s">
        <v>593</v>
      </c>
    </row>
    <row r="184" spans="4:65">
      <c r="D184" s="17" t="str">
        <f t="shared" si="63"/>
        <v>ErgänzungsfuttermittelKatzeVitaminpräparat</v>
      </c>
      <c r="E184" s="4" t="s">
        <v>91</v>
      </c>
      <c r="F184" s="19" t="s">
        <v>90</v>
      </c>
      <c r="G184" s="4" t="s">
        <v>124</v>
      </c>
      <c r="L184" s="4" t="s">
        <v>596</v>
      </c>
      <c r="M184">
        <f t="shared" si="64"/>
        <v>9.5</v>
      </c>
      <c r="N184">
        <f t="shared" si="65"/>
        <v>5.5</v>
      </c>
      <c r="P184">
        <f t="shared" si="66"/>
        <v>34.5</v>
      </c>
      <c r="R184">
        <f t="shared" si="67"/>
        <v>1.5</v>
      </c>
      <c r="S184" s="4">
        <v>1800</v>
      </c>
      <c r="T184" s="4">
        <v>1</v>
      </c>
      <c r="U184" s="33">
        <f t="shared" si="52"/>
        <v>1800</v>
      </c>
      <c r="AF184" s="4">
        <f t="shared" si="62"/>
        <v>0</v>
      </c>
      <c r="AL184" s="4">
        <f t="shared" si="54"/>
        <v>0</v>
      </c>
      <c r="AO184" s="4">
        <v>13.3</v>
      </c>
      <c r="AP184" s="4">
        <v>10</v>
      </c>
      <c r="AQ184" s="4">
        <v>6.7</v>
      </c>
      <c r="AR184" s="4">
        <v>46.7</v>
      </c>
      <c r="AZ184" s="4">
        <v>1800</v>
      </c>
      <c r="BA184" s="4">
        <v>89.8</v>
      </c>
      <c r="BB184" s="4">
        <v>3</v>
      </c>
      <c r="BC184" s="4" t="s">
        <v>598</v>
      </c>
      <c r="BD184" s="4" t="s">
        <v>578</v>
      </c>
      <c r="BE184" s="4" t="s">
        <v>91</v>
      </c>
      <c r="BF184" s="4">
        <v>9.5</v>
      </c>
      <c r="BG184" s="4">
        <v>5.5</v>
      </c>
      <c r="BI184" s="4">
        <v>34.5</v>
      </c>
      <c r="BK184" s="4">
        <v>1.5</v>
      </c>
      <c r="BL184" s="4" t="s">
        <v>599</v>
      </c>
      <c r="BM184" s="4" t="s">
        <v>597</v>
      </c>
    </row>
    <row r="185" spans="4:65">
      <c r="D185" s="17" t="str">
        <f t="shared" si="63"/>
        <v>ErgänzungsfuttermittelKatzeVitaminpräparat</v>
      </c>
      <c r="E185" s="4" t="s">
        <v>91</v>
      </c>
      <c r="F185" s="19" t="s">
        <v>90</v>
      </c>
      <c r="G185" s="4" t="s">
        <v>124</v>
      </c>
      <c r="L185" s="4" t="s">
        <v>604</v>
      </c>
      <c r="M185">
        <f t="shared" si="64"/>
        <v>6</v>
      </c>
      <c r="N185">
        <f t="shared" si="65"/>
        <v>9</v>
      </c>
      <c r="P185">
        <f t="shared" si="66"/>
        <v>36.5</v>
      </c>
      <c r="R185">
        <f t="shared" si="67"/>
        <v>1.5</v>
      </c>
      <c r="U185" s="33" t="str">
        <f t="shared" si="52"/>
        <v/>
      </c>
      <c r="AF185" s="4">
        <f t="shared" si="62"/>
        <v>0</v>
      </c>
      <c r="AL185" s="4">
        <f t="shared" si="54"/>
        <v>0</v>
      </c>
      <c r="AO185" s="4">
        <v>13.3</v>
      </c>
      <c r="AP185" s="4">
        <v>10</v>
      </c>
      <c r="AQ185" s="4">
        <v>6.7</v>
      </c>
      <c r="AR185" s="4">
        <v>46.7</v>
      </c>
      <c r="BA185" s="4">
        <v>89.8</v>
      </c>
      <c r="BB185" s="4">
        <v>3</v>
      </c>
      <c r="BC185" s="4" t="s">
        <v>605</v>
      </c>
      <c r="BD185" s="4" t="s">
        <v>578</v>
      </c>
      <c r="BE185" s="4" t="s">
        <v>91</v>
      </c>
      <c r="BF185" s="4">
        <v>6</v>
      </c>
      <c r="BG185" s="4">
        <v>9</v>
      </c>
      <c r="BI185" s="4">
        <v>36.5</v>
      </c>
      <c r="BK185" s="4">
        <v>1.5</v>
      </c>
      <c r="BL185" s="4" t="s">
        <v>606</v>
      </c>
      <c r="BM185" s="4" t="s">
        <v>607</v>
      </c>
    </row>
    <row r="186" spans="4:65">
      <c r="D186" s="17" t="str">
        <f t="shared" si="63"/>
        <v>ErgänzungsfuttermittelKatzeVitaminpräparat</v>
      </c>
      <c r="E186" s="4" t="s">
        <v>91</v>
      </c>
      <c r="F186" s="19" t="s">
        <v>90</v>
      </c>
      <c r="G186" s="4" t="s">
        <v>124</v>
      </c>
      <c r="L186" s="4" t="s">
        <v>615</v>
      </c>
      <c r="M186">
        <f t="shared" si="64"/>
        <v>6</v>
      </c>
      <c r="N186">
        <f t="shared" si="65"/>
        <v>31</v>
      </c>
      <c r="P186">
        <f t="shared" si="66"/>
        <v>20</v>
      </c>
      <c r="R186">
        <f t="shared" si="67"/>
        <v>2.5</v>
      </c>
      <c r="U186" s="33" t="str">
        <f t="shared" si="52"/>
        <v/>
      </c>
      <c r="AF186" s="4">
        <f t="shared" si="62"/>
        <v>270</v>
      </c>
      <c r="AG186" s="4">
        <v>900</v>
      </c>
      <c r="AK186" s="4">
        <v>63</v>
      </c>
      <c r="AL186" s="4">
        <f t="shared" si="54"/>
        <v>1.5750000000000002</v>
      </c>
      <c r="AN186" s="4">
        <v>9</v>
      </c>
      <c r="AZ186" s="4">
        <v>100</v>
      </c>
      <c r="BA186" s="4">
        <v>17.93</v>
      </c>
      <c r="BC186" s="4" t="s">
        <v>616</v>
      </c>
      <c r="BD186" s="4" t="s">
        <v>578</v>
      </c>
      <c r="BE186" s="4" t="s">
        <v>91</v>
      </c>
      <c r="BF186" s="4">
        <v>6</v>
      </c>
      <c r="BG186" s="4">
        <v>31</v>
      </c>
      <c r="BI186" s="4">
        <v>20</v>
      </c>
      <c r="BK186" s="4">
        <v>2.5</v>
      </c>
      <c r="BL186" s="4" t="s">
        <v>618</v>
      </c>
      <c r="BM186" s="4" t="s">
        <v>617</v>
      </c>
    </row>
    <row r="187" spans="4:65">
      <c r="D187" s="17" t="str">
        <f t="shared" si="63"/>
        <v>ErgänzungsfuttermittelKatzeVitaminpräparat</v>
      </c>
      <c r="E187" s="4" t="s">
        <v>91</v>
      </c>
      <c r="F187" s="19" t="s">
        <v>90</v>
      </c>
      <c r="G187" s="4" t="s">
        <v>124</v>
      </c>
      <c r="L187" s="4" t="s">
        <v>619</v>
      </c>
      <c r="M187">
        <f t="shared" si="64"/>
        <v>6</v>
      </c>
      <c r="N187">
        <f t="shared" si="65"/>
        <v>31</v>
      </c>
      <c r="P187">
        <f t="shared" si="66"/>
        <v>20</v>
      </c>
      <c r="R187">
        <f t="shared" si="67"/>
        <v>2.5</v>
      </c>
      <c r="U187" s="33" t="str">
        <f t="shared" si="52"/>
        <v/>
      </c>
      <c r="AF187" s="4">
        <f t="shared" si="62"/>
        <v>270</v>
      </c>
      <c r="AG187" s="4">
        <v>900</v>
      </c>
      <c r="AK187" s="4">
        <v>63</v>
      </c>
      <c r="AL187" s="4">
        <f t="shared" si="54"/>
        <v>1.5750000000000002</v>
      </c>
      <c r="AN187" s="4">
        <v>9</v>
      </c>
      <c r="AZ187" s="4">
        <v>100</v>
      </c>
      <c r="BA187" s="4">
        <v>17.93</v>
      </c>
      <c r="BC187" s="4" t="s">
        <v>620</v>
      </c>
      <c r="BD187" s="4" t="s">
        <v>578</v>
      </c>
      <c r="BE187" s="4" t="s">
        <v>91</v>
      </c>
      <c r="BF187" s="4">
        <v>6</v>
      </c>
      <c r="BG187" s="4">
        <v>31</v>
      </c>
      <c r="BI187" s="4">
        <v>20</v>
      </c>
      <c r="BK187" s="4">
        <v>2.5</v>
      </c>
      <c r="BL187" s="4" t="s">
        <v>622</v>
      </c>
      <c r="BM187" s="4" t="s">
        <v>621</v>
      </c>
    </row>
    <row r="188" spans="4:65" s="27" customFormat="1">
      <c r="D188" s="34" t="str">
        <f t="shared" si="63"/>
        <v>ErgänzungsfuttermittelKatzeVitaminpräparat</v>
      </c>
      <c r="E188" s="27" t="s">
        <v>91</v>
      </c>
      <c r="F188" s="35" t="s">
        <v>90</v>
      </c>
      <c r="G188" s="27" t="s">
        <v>124</v>
      </c>
      <c r="L188" s="27" t="s">
        <v>627</v>
      </c>
      <c r="M188" s="28">
        <f t="shared" si="64"/>
        <v>14.5</v>
      </c>
      <c r="N188" s="28">
        <f t="shared" si="65"/>
        <v>24</v>
      </c>
      <c r="P188" s="28">
        <f t="shared" si="66"/>
        <v>15</v>
      </c>
      <c r="R188" s="28">
        <f t="shared" si="67"/>
        <v>6</v>
      </c>
      <c r="U188" s="36" t="str">
        <f t="shared" si="52"/>
        <v/>
      </c>
      <c r="AF188" s="27">
        <f t="shared" si="62"/>
        <v>0</v>
      </c>
      <c r="AK188" s="27">
        <v>114.7</v>
      </c>
      <c r="AL188" s="27">
        <f t="shared" si="54"/>
        <v>2.8675000000000002</v>
      </c>
      <c r="AN188" s="27">
        <v>26</v>
      </c>
      <c r="AO188" s="27">
        <v>2.7</v>
      </c>
      <c r="AP188" s="27">
        <v>2</v>
      </c>
      <c r="AQ188" s="27">
        <v>1.3</v>
      </c>
      <c r="AR188" s="27">
        <v>9.3000000000000007</v>
      </c>
      <c r="AS188" s="27">
        <v>179.9</v>
      </c>
      <c r="AT188" s="27">
        <v>93.7</v>
      </c>
      <c r="AU188" s="27">
        <v>15</v>
      </c>
      <c r="AV188" s="27">
        <v>18000</v>
      </c>
      <c r="AW188" s="27">
        <v>10</v>
      </c>
      <c r="AX188" s="27">
        <v>0.1</v>
      </c>
      <c r="AY188" s="27">
        <v>266</v>
      </c>
      <c r="BA188" s="27">
        <v>44.75</v>
      </c>
      <c r="BC188" s="27" t="s">
        <v>627</v>
      </c>
      <c r="BD188" s="27" t="s">
        <v>578</v>
      </c>
      <c r="BE188" s="27" t="s">
        <v>91</v>
      </c>
      <c r="BF188" s="27">
        <v>14.5</v>
      </c>
      <c r="BG188" s="27">
        <v>24</v>
      </c>
      <c r="BI188" s="27">
        <v>15</v>
      </c>
      <c r="BK188" s="27">
        <v>6</v>
      </c>
      <c r="BL188" s="27" t="s">
        <v>629</v>
      </c>
      <c r="BM188" s="27" t="s">
        <v>628</v>
      </c>
    </row>
    <row r="189" spans="4:65">
      <c r="D189" s="17" t="str">
        <f t="shared" si="63"/>
        <v>ErgänzungsfuttermittelKatzeVitaminpräparat</v>
      </c>
      <c r="E189" s="4" t="s">
        <v>91</v>
      </c>
      <c r="F189" s="19" t="s">
        <v>90</v>
      </c>
      <c r="G189" s="4" t="s">
        <v>124</v>
      </c>
      <c r="L189" s="4" t="s">
        <v>630</v>
      </c>
      <c r="M189">
        <f t="shared" si="64"/>
        <v>6</v>
      </c>
      <c r="N189">
        <f t="shared" si="65"/>
        <v>25</v>
      </c>
      <c r="P189">
        <f t="shared" si="66"/>
        <v>24</v>
      </c>
      <c r="R189">
        <f t="shared" si="67"/>
        <v>1</v>
      </c>
      <c r="S189" s="4">
        <v>1200</v>
      </c>
      <c r="T189" s="4">
        <v>700</v>
      </c>
      <c r="U189" s="33">
        <f t="shared" si="52"/>
        <v>1.7142857142857142</v>
      </c>
      <c r="X189" s="4">
        <v>200</v>
      </c>
      <c r="AF189" s="4">
        <f t="shared" si="62"/>
        <v>34.409999999999997</v>
      </c>
      <c r="AG189" s="4">
        <v>114.7</v>
      </c>
      <c r="AL189" s="4">
        <f t="shared" si="54"/>
        <v>0</v>
      </c>
      <c r="AN189" s="4">
        <v>26</v>
      </c>
      <c r="AO189" s="4">
        <v>2.7</v>
      </c>
      <c r="AP189" s="4">
        <v>2</v>
      </c>
      <c r="AQ189" s="4">
        <v>1.3</v>
      </c>
      <c r="AR189" s="4">
        <v>9.3000000000000007</v>
      </c>
      <c r="AT189" s="4">
        <v>93.7</v>
      </c>
      <c r="AV189" s="4">
        <v>18000</v>
      </c>
      <c r="AZ189" s="4">
        <v>400</v>
      </c>
      <c r="BA189" s="4">
        <v>49.75</v>
      </c>
      <c r="BC189" s="4" t="s">
        <v>630</v>
      </c>
      <c r="BD189" s="4" t="s">
        <v>578</v>
      </c>
      <c r="BE189" s="4" t="s">
        <v>91</v>
      </c>
      <c r="BF189" s="4">
        <v>6</v>
      </c>
      <c r="BG189" s="4">
        <v>25</v>
      </c>
      <c r="BI189" s="4">
        <v>24</v>
      </c>
      <c r="BK189" s="4">
        <v>1</v>
      </c>
      <c r="BL189" s="4" t="s">
        <v>632</v>
      </c>
      <c r="BM189" s="30" t="s">
        <v>631</v>
      </c>
    </row>
    <row r="190" spans="4:65">
      <c r="D190" s="17" t="str">
        <f t="shared" si="63"/>
        <v>ErgänzungsfuttermittelKatzeVitaminpräparat</v>
      </c>
      <c r="E190" s="4" t="s">
        <v>91</v>
      </c>
      <c r="F190" s="19" t="s">
        <v>90</v>
      </c>
      <c r="G190" s="4" t="s">
        <v>124</v>
      </c>
      <c r="L190" s="4" t="s">
        <v>643</v>
      </c>
      <c r="M190">
        <f t="shared" si="64"/>
        <v>0.66</v>
      </c>
      <c r="N190">
        <f t="shared" si="65"/>
        <v>3.5</v>
      </c>
      <c r="P190">
        <f t="shared" si="66"/>
        <v>34.5</v>
      </c>
      <c r="R190">
        <f t="shared" si="67"/>
        <v>0.2</v>
      </c>
      <c r="U190" s="33" t="str">
        <f t="shared" si="52"/>
        <v/>
      </c>
      <c r="AF190" s="4">
        <f t="shared" si="62"/>
        <v>600</v>
      </c>
      <c r="AG190" s="4">
        <v>2000</v>
      </c>
      <c r="AK190" s="4">
        <v>80</v>
      </c>
      <c r="AL190" s="4">
        <f t="shared" si="54"/>
        <v>2</v>
      </c>
      <c r="AO190" s="4">
        <v>2.4</v>
      </c>
      <c r="AP190" s="4">
        <v>1.6</v>
      </c>
      <c r="AQ190" s="4">
        <v>1.2</v>
      </c>
      <c r="AR190" s="4">
        <v>3.2</v>
      </c>
      <c r="AS190" s="4">
        <v>8</v>
      </c>
      <c r="AT190" s="4">
        <v>4.8</v>
      </c>
      <c r="AU190" s="4">
        <v>3</v>
      </c>
      <c r="AV190" s="4">
        <v>24000</v>
      </c>
      <c r="BA190" s="4">
        <v>69.900000000000006</v>
      </c>
      <c r="BB190" s="4">
        <v>2.4</v>
      </c>
      <c r="BC190" s="4" t="s">
        <v>647</v>
      </c>
      <c r="BD190" s="4" t="s">
        <v>646</v>
      </c>
      <c r="BE190" s="4" t="s">
        <v>91</v>
      </c>
      <c r="BF190" s="4">
        <v>0.66</v>
      </c>
      <c r="BG190" s="4">
        <v>3.5</v>
      </c>
      <c r="BI190" s="4">
        <v>34.5</v>
      </c>
      <c r="BK190" s="4">
        <v>0.2</v>
      </c>
      <c r="BL190" s="4" t="s">
        <v>645</v>
      </c>
      <c r="BM190" s="4" t="s">
        <v>644</v>
      </c>
    </row>
    <row r="191" spans="4:65">
      <c r="D191" s="17" t="str">
        <f t="shared" si="63"/>
        <v>ErgänzungsfuttermittelKatzeVitaminpräparat</v>
      </c>
      <c r="E191" s="4" t="s">
        <v>91</v>
      </c>
      <c r="F191" s="19" t="s">
        <v>90</v>
      </c>
      <c r="G191" s="4" t="s">
        <v>124</v>
      </c>
      <c r="L191" s="4" t="s">
        <v>670</v>
      </c>
      <c r="M191">
        <f t="shared" si="64"/>
        <v>1.2</v>
      </c>
      <c r="N191">
        <f t="shared" si="65"/>
        <v>10</v>
      </c>
      <c r="P191">
        <f t="shared" si="66"/>
        <v>0.2</v>
      </c>
      <c r="R191">
        <f t="shared" si="67"/>
        <v>0.1</v>
      </c>
      <c r="U191" s="33" t="str">
        <f t="shared" si="52"/>
        <v/>
      </c>
      <c r="AF191" s="4">
        <f t="shared" si="62"/>
        <v>1875</v>
      </c>
      <c r="AG191" s="4">
        <v>6250</v>
      </c>
      <c r="AK191" s="4">
        <v>200</v>
      </c>
      <c r="AL191" s="4">
        <f t="shared" si="54"/>
        <v>5</v>
      </c>
      <c r="AO191" s="4">
        <v>7.5</v>
      </c>
      <c r="AP191" s="4">
        <v>7.5</v>
      </c>
      <c r="AQ191" s="4">
        <v>5</v>
      </c>
      <c r="AR191" s="4">
        <v>7.5</v>
      </c>
      <c r="AS191" s="4">
        <v>10000</v>
      </c>
      <c r="AT191" s="4">
        <v>15</v>
      </c>
      <c r="AU191" s="4">
        <v>15</v>
      </c>
      <c r="AV191" s="4">
        <v>1250</v>
      </c>
      <c r="AY191" s="4">
        <v>37.65</v>
      </c>
      <c r="BA191" s="4">
        <v>79.92</v>
      </c>
      <c r="BB191" s="4">
        <v>2</v>
      </c>
      <c r="BC191" s="4" t="s">
        <v>671</v>
      </c>
      <c r="BD191" s="4" t="s">
        <v>646</v>
      </c>
      <c r="BE191" s="4" t="s">
        <v>91</v>
      </c>
      <c r="BF191" s="4">
        <v>1.2</v>
      </c>
      <c r="BG191" s="4">
        <v>10</v>
      </c>
      <c r="BI191" s="4">
        <v>0.2</v>
      </c>
      <c r="BK191" s="4">
        <v>0.1</v>
      </c>
      <c r="BL191" s="4" t="s">
        <v>673</v>
      </c>
      <c r="BM191" s="4" t="s">
        <v>672</v>
      </c>
    </row>
    <row r="192" spans="4:65">
      <c r="D192" s="17" t="str">
        <f t="shared" si="63"/>
        <v>ErgänzungsfuttermittelKatzeVitaminpräparat</v>
      </c>
      <c r="E192" s="4" t="s">
        <v>91</v>
      </c>
      <c r="F192" s="19" t="s">
        <v>90</v>
      </c>
      <c r="G192" s="4" t="s">
        <v>124</v>
      </c>
      <c r="L192" s="4" t="s">
        <v>678</v>
      </c>
      <c r="M192">
        <f t="shared" si="64"/>
        <v>2.5</v>
      </c>
      <c r="N192">
        <f t="shared" si="65"/>
        <v>3</v>
      </c>
      <c r="P192">
        <f t="shared" si="66"/>
        <v>35</v>
      </c>
      <c r="R192">
        <f t="shared" si="67"/>
        <v>1.5</v>
      </c>
      <c r="U192" s="33" t="str">
        <f t="shared" si="52"/>
        <v/>
      </c>
      <c r="AF192" s="4">
        <f t="shared" si="62"/>
        <v>301.5</v>
      </c>
      <c r="AG192" s="4">
        <v>1005</v>
      </c>
      <c r="AK192" s="4">
        <v>100</v>
      </c>
      <c r="AL192" s="4">
        <f t="shared" si="54"/>
        <v>2.5</v>
      </c>
      <c r="BA192" s="4">
        <v>29.9</v>
      </c>
      <c r="BB192" s="4">
        <v>3</v>
      </c>
      <c r="BC192" s="4" t="s">
        <v>674</v>
      </c>
      <c r="BD192" s="4" t="s">
        <v>675</v>
      </c>
      <c r="BE192" s="4" t="s">
        <v>91</v>
      </c>
      <c r="BF192" s="4">
        <v>2.5</v>
      </c>
      <c r="BG192" s="4">
        <v>3</v>
      </c>
      <c r="BI192" s="4">
        <v>35</v>
      </c>
      <c r="BK192" s="4">
        <v>1.5</v>
      </c>
      <c r="BL192" s="4" t="s">
        <v>677</v>
      </c>
      <c r="BM192" s="4" t="s">
        <v>676</v>
      </c>
    </row>
    <row r="193" spans="4:65">
      <c r="D193" s="17" t="str">
        <f t="shared" si="63"/>
        <v>ErgänzungsfuttermittelKatzeVitaminpräparat</v>
      </c>
      <c r="E193" s="4" t="s">
        <v>91</v>
      </c>
      <c r="F193" s="19" t="s">
        <v>90</v>
      </c>
      <c r="G193" s="4" t="s">
        <v>124</v>
      </c>
      <c r="L193" s="4" t="s">
        <v>686</v>
      </c>
      <c r="M193">
        <f t="shared" si="64"/>
        <v>4.2</v>
      </c>
      <c r="N193">
        <f t="shared" si="65"/>
        <v>16</v>
      </c>
      <c r="P193">
        <f t="shared" si="66"/>
        <v>52</v>
      </c>
      <c r="R193">
        <f t="shared" si="67"/>
        <v>0.1</v>
      </c>
      <c r="S193" s="4">
        <v>550</v>
      </c>
      <c r="T193" s="4">
        <v>450</v>
      </c>
      <c r="U193" s="33">
        <f t="shared" si="52"/>
        <v>1.2222222222222223</v>
      </c>
      <c r="X193" s="4">
        <v>410</v>
      </c>
      <c r="AF193" s="4">
        <f t="shared" si="62"/>
        <v>0</v>
      </c>
      <c r="AL193" s="4">
        <f t="shared" si="54"/>
        <v>0</v>
      </c>
      <c r="AN193" s="4">
        <v>16</v>
      </c>
      <c r="AO193" s="4">
        <v>37</v>
      </c>
      <c r="AP193" s="4">
        <v>11</v>
      </c>
      <c r="AQ193" s="4">
        <v>18</v>
      </c>
      <c r="AR193" s="4">
        <v>150</v>
      </c>
      <c r="AS193" s="4">
        <v>270</v>
      </c>
      <c r="AT193" s="4">
        <v>100</v>
      </c>
      <c r="AU193" s="4">
        <v>59</v>
      </c>
      <c r="AV193" s="4">
        <v>2700</v>
      </c>
      <c r="AZ193" s="4">
        <v>440</v>
      </c>
      <c r="BA193" s="4">
        <v>25.96</v>
      </c>
      <c r="BC193" s="4" t="s">
        <v>686</v>
      </c>
      <c r="BD193" s="4" t="s">
        <v>680</v>
      </c>
      <c r="BE193" s="4" t="s">
        <v>91</v>
      </c>
      <c r="BF193" s="4">
        <v>4.2</v>
      </c>
      <c r="BG193" s="4">
        <v>16</v>
      </c>
      <c r="BI193" s="4">
        <v>52</v>
      </c>
      <c r="BK193" s="4">
        <v>0.1</v>
      </c>
      <c r="BL193" s="4" t="s">
        <v>688</v>
      </c>
      <c r="BM193" s="4" t="s">
        <v>687</v>
      </c>
    </row>
    <row r="194" spans="4:65">
      <c r="D194" s="17" t="str">
        <f t="shared" si="63"/>
        <v>ErgänzungsfuttermittelKatzeVitaminpräparat</v>
      </c>
      <c r="E194" s="4" t="s">
        <v>91</v>
      </c>
      <c r="F194" s="19" t="s">
        <v>90</v>
      </c>
      <c r="G194" s="4" t="s">
        <v>124</v>
      </c>
      <c r="L194" s="4" t="s">
        <v>695</v>
      </c>
      <c r="M194">
        <f t="shared" si="64"/>
        <v>1</v>
      </c>
      <c r="N194">
        <f t="shared" si="65"/>
        <v>1.1000000000000001</v>
      </c>
      <c r="P194">
        <f t="shared" si="66"/>
        <v>5.0000000000000001E-4</v>
      </c>
      <c r="R194">
        <f t="shared" si="67"/>
        <v>0</v>
      </c>
      <c r="S194" s="4">
        <v>24</v>
      </c>
      <c r="T194" s="4">
        <v>310</v>
      </c>
      <c r="U194" s="33">
        <f t="shared" si="52"/>
        <v>7.7419354838709681E-2</v>
      </c>
      <c r="W194" s="4">
        <v>27</v>
      </c>
      <c r="X194" s="4">
        <v>4.5999999999999996</v>
      </c>
      <c r="AF194" s="4">
        <f t="shared" si="62"/>
        <v>0</v>
      </c>
      <c r="AL194" s="4">
        <f t="shared" si="54"/>
        <v>0</v>
      </c>
      <c r="AO194" s="4">
        <v>26</v>
      </c>
      <c r="AP194" s="4">
        <v>73</v>
      </c>
      <c r="AQ194" s="4">
        <v>36</v>
      </c>
      <c r="AR194" s="4">
        <v>710</v>
      </c>
      <c r="AS194" s="4">
        <v>720</v>
      </c>
      <c r="AT194" s="4">
        <v>600</v>
      </c>
      <c r="AU194" s="4">
        <v>250</v>
      </c>
      <c r="BA194" s="4">
        <v>123.8</v>
      </c>
      <c r="BC194" s="4" t="s">
        <v>695</v>
      </c>
      <c r="BD194" s="4" t="s">
        <v>680</v>
      </c>
      <c r="BE194" s="4" t="s">
        <v>91</v>
      </c>
      <c r="BF194" s="4">
        <v>1</v>
      </c>
      <c r="BG194" s="4">
        <v>1.1000000000000001</v>
      </c>
      <c r="BI194" s="4">
        <v>5.0000000000000001E-4</v>
      </c>
      <c r="BK194" s="4">
        <v>0</v>
      </c>
      <c r="BL194" s="4" t="s">
        <v>697</v>
      </c>
      <c r="BM194" s="4" t="s">
        <v>696</v>
      </c>
    </row>
    <row r="195" spans="4:65">
      <c r="D195" s="17" t="str">
        <f t="shared" si="63"/>
        <v>ErgänzungsfuttermittelKatzeVitaminpräparat</v>
      </c>
      <c r="E195" s="4" t="s">
        <v>91</v>
      </c>
      <c r="F195" s="19" t="s">
        <v>90</v>
      </c>
      <c r="G195" s="4" t="s">
        <v>124</v>
      </c>
      <c r="L195" s="4" t="s">
        <v>760</v>
      </c>
      <c r="M195">
        <f t="shared" si="64"/>
        <v>6.3</v>
      </c>
      <c r="N195">
        <f t="shared" si="65"/>
        <v>1.9</v>
      </c>
      <c r="P195">
        <f t="shared" si="66"/>
        <v>75.900000000000006</v>
      </c>
      <c r="R195">
        <f t="shared" si="67"/>
        <v>0.3</v>
      </c>
      <c r="U195" s="33" t="str">
        <f t="shared" si="52"/>
        <v/>
      </c>
      <c r="AF195" s="4">
        <f t="shared" si="62"/>
        <v>0</v>
      </c>
      <c r="AL195" s="4">
        <f t="shared" si="54"/>
        <v>0</v>
      </c>
      <c r="AN195" s="4">
        <v>100</v>
      </c>
      <c r="AO195" s="4">
        <v>20</v>
      </c>
      <c r="AP195" s="4">
        <v>15</v>
      </c>
      <c r="AQ195" s="4">
        <v>10</v>
      </c>
      <c r="AR195" s="4">
        <v>100</v>
      </c>
      <c r="AT195" s="4">
        <v>100</v>
      </c>
      <c r="AU195" s="4">
        <v>50</v>
      </c>
      <c r="BA195" s="4">
        <v>114.9</v>
      </c>
      <c r="BB195" s="4">
        <v>3</v>
      </c>
      <c r="BC195" s="4" t="s">
        <v>762</v>
      </c>
      <c r="BD195" s="4" t="s">
        <v>703</v>
      </c>
      <c r="BE195" s="4" t="s">
        <v>91</v>
      </c>
      <c r="BF195" s="4">
        <v>6.3</v>
      </c>
      <c r="BG195" s="4">
        <v>1.9</v>
      </c>
      <c r="BI195" s="4">
        <v>75.900000000000006</v>
      </c>
      <c r="BK195" s="4">
        <v>0.3</v>
      </c>
      <c r="BL195" s="4" t="s">
        <v>763</v>
      </c>
      <c r="BM195" s="4" t="s">
        <v>761</v>
      </c>
    </row>
    <row r="196" spans="4:65">
      <c r="D196" s="17" t="str">
        <f t="shared" si="63"/>
        <v>ErgänzungsfuttermittelKatzeVitaminpräparat</v>
      </c>
      <c r="E196" s="4" t="s">
        <v>91</v>
      </c>
      <c r="F196" s="19" t="s">
        <v>90</v>
      </c>
      <c r="G196" s="4" t="s">
        <v>124</v>
      </c>
      <c r="L196" s="4" t="s">
        <v>778</v>
      </c>
      <c r="M196">
        <f t="shared" si="64"/>
        <v>14.9</v>
      </c>
      <c r="N196">
        <f t="shared" si="65"/>
        <v>45</v>
      </c>
      <c r="P196">
        <f t="shared" si="66"/>
        <v>3.7</v>
      </c>
      <c r="R196">
        <f t="shared" si="67"/>
        <v>0</v>
      </c>
      <c r="U196" s="33" t="str">
        <f t="shared" si="52"/>
        <v/>
      </c>
      <c r="AF196" s="4">
        <f t="shared" si="62"/>
        <v>0</v>
      </c>
      <c r="AL196" s="4">
        <f t="shared" si="54"/>
        <v>0</v>
      </c>
      <c r="AP196" s="4">
        <v>35</v>
      </c>
      <c r="AS196" s="4">
        <v>110000</v>
      </c>
      <c r="AT196" s="4">
        <v>175</v>
      </c>
      <c r="BA196" s="4">
        <v>144.9</v>
      </c>
      <c r="BB196" s="4">
        <v>2</v>
      </c>
      <c r="BC196" s="4" t="s">
        <v>778</v>
      </c>
      <c r="BD196" s="4" t="s">
        <v>703</v>
      </c>
      <c r="BE196" s="4" t="s">
        <v>91</v>
      </c>
      <c r="BF196" s="4">
        <v>14.9</v>
      </c>
      <c r="BG196" s="4">
        <v>45</v>
      </c>
      <c r="BI196" s="4">
        <v>3.7</v>
      </c>
      <c r="BK196" s="4">
        <v>0</v>
      </c>
      <c r="BL196" s="4" t="s">
        <v>780</v>
      </c>
      <c r="BM196" s="4" t="s">
        <v>779</v>
      </c>
    </row>
    <row r="197" spans="4:65">
      <c r="D197" s="17" t="str">
        <f t="shared" si="63"/>
        <v>ErgänzungsfuttermittelKatzeVitaminpräparat</v>
      </c>
      <c r="E197" s="4" t="s">
        <v>91</v>
      </c>
      <c r="F197" s="19" t="s">
        <v>90</v>
      </c>
      <c r="G197" s="4" t="s">
        <v>124</v>
      </c>
      <c r="L197" s="4" t="s">
        <v>781</v>
      </c>
      <c r="M197">
        <f t="shared" si="64"/>
        <v>0</v>
      </c>
      <c r="N197">
        <f t="shared" si="65"/>
        <v>0</v>
      </c>
      <c r="P197">
        <f t="shared" si="66"/>
        <v>84.6</v>
      </c>
      <c r="R197">
        <f t="shared" si="67"/>
        <v>0</v>
      </c>
      <c r="U197" s="33" t="str">
        <f t="shared" ref="U197:U260" si="68">IF(S197="","",S197/T197)</f>
        <v/>
      </c>
      <c r="AF197" s="4">
        <f t="shared" si="62"/>
        <v>0</v>
      </c>
      <c r="AL197" s="4">
        <f t="shared" si="54"/>
        <v>0</v>
      </c>
      <c r="AN197" s="4">
        <v>14128.8</v>
      </c>
      <c r="AS197" s="4">
        <v>13.9</v>
      </c>
      <c r="BA197" s="4">
        <v>671.6</v>
      </c>
      <c r="BC197" s="4" t="s">
        <v>781</v>
      </c>
      <c r="BD197" s="4" t="s">
        <v>703</v>
      </c>
      <c r="BE197" s="4" t="s">
        <v>91</v>
      </c>
      <c r="BI197" s="4">
        <v>84.6</v>
      </c>
      <c r="BL197" s="4" t="s">
        <v>759</v>
      </c>
      <c r="BM197" s="4" t="s">
        <v>782</v>
      </c>
    </row>
    <row r="198" spans="4:65">
      <c r="D198" s="17" t="str">
        <f t="shared" si="63"/>
        <v>ErgänzungsfuttermittelKatzeVitaminpräparat</v>
      </c>
      <c r="E198" s="4" t="s">
        <v>91</v>
      </c>
      <c r="F198" s="19" t="s">
        <v>90</v>
      </c>
      <c r="G198" s="4" t="s">
        <v>124</v>
      </c>
      <c r="L198" s="4" t="s">
        <v>783</v>
      </c>
      <c r="M198">
        <f t="shared" si="64"/>
        <v>29.1</v>
      </c>
      <c r="N198">
        <f t="shared" si="65"/>
        <v>27.7</v>
      </c>
      <c r="P198">
        <f t="shared" si="66"/>
        <v>2.5</v>
      </c>
      <c r="R198">
        <f t="shared" si="67"/>
        <v>1.5</v>
      </c>
      <c r="U198" s="33" t="str">
        <f t="shared" si="68"/>
        <v/>
      </c>
      <c r="AF198" s="4">
        <f t="shared" si="62"/>
        <v>19800</v>
      </c>
      <c r="AG198" s="4">
        <v>66000</v>
      </c>
      <c r="AK198" s="4">
        <v>1000</v>
      </c>
      <c r="AL198" s="4">
        <f t="shared" si="54"/>
        <v>25</v>
      </c>
      <c r="AO198" s="4">
        <v>25.8</v>
      </c>
      <c r="AP198" s="4">
        <v>17.2</v>
      </c>
      <c r="AQ198" s="4">
        <v>12.8</v>
      </c>
      <c r="AR198" s="4">
        <v>205.2</v>
      </c>
      <c r="AS198" s="4">
        <v>1167.5</v>
      </c>
      <c r="AT198" s="4">
        <v>132</v>
      </c>
      <c r="AU198" s="4">
        <v>33</v>
      </c>
      <c r="AW198" s="4">
        <v>220</v>
      </c>
      <c r="AX198" s="4">
        <v>6.6</v>
      </c>
      <c r="BA198" s="4">
        <v>164.9</v>
      </c>
      <c r="BC198" s="4" t="s">
        <v>784</v>
      </c>
      <c r="BD198" s="4" t="s">
        <v>703</v>
      </c>
      <c r="BE198" s="4" t="s">
        <v>91</v>
      </c>
      <c r="BF198" s="4">
        <v>29.1</v>
      </c>
      <c r="BG198" s="4">
        <v>27.7</v>
      </c>
      <c r="BI198" s="4">
        <v>2.5</v>
      </c>
      <c r="BK198" s="4">
        <v>1.5</v>
      </c>
      <c r="BL198" s="4" t="s">
        <v>786</v>
      </c>
      <c r="BM198" s="4" t="s">
        <v>785</v>
      </c>
    </row>
    <row r="199" spans="4:65">
      <c r="D199" s="17" t="str">
        <f t="shared" si="63"/>
        <v>ErgänzungsfuttermittelKatzeVitaminpräparat</v>
      </c>
      <c r="E199" s="4" t="s">
        <v>91</v>
      </c>
      <c r="F199" s="19" t="s">
        <v>90</v>
      </c>
      <c r="G199" s="4" t="s">
        <v>124</v>
      </c>
      <c r="L199" s="4" t="s">
        <v>791</v>
      </c>
      <c r="M199">
        <f t="shared" si="64"/>
        <v>11.4</v>
      </c>
      <c r="N199">
        <f t="shared" si="65"/>
        <v>41</v>
      </c>
      <c r="P199">
        <f t="shared" si="66"/>
        <v>2.7</v>
      </c>
      <c r="R199">
        <f t="shared" si="67"/>
        <v>0.3</v>
      </c>
      <c r="U199" s="33" t="str">
        <f t="shared" si="68"/>
        <v/>
      </c>
      <c r="AF199" s="4">
        <f t="shared" si="62"/>
        <v>18000</v>
      </c>
      <c r="AG199" s="4">
        <v>60000</v>
      </c>
      <c r="AK199" s="4">
        <v>1100</v>
      </c>
      <c r="AL199" s="4">
        <f t="shared" si="54"/>
        <v>27.5</v>
      </c>
      <c r="AN199" s="4">
        <v>264</v>
      </c>
      <c r="AO199" s="4">
        <v>26.4</v>
      </c>
      <c r="AP199" s="4">
        <v>17.600000000000001</v>
      </c>
      <c r="AQ199" s="4">
        <v>13.2</v>
      </c>
      <c r="AR199" s="4">
        <v>198</v>
      </c>
      <c r="AS199" s="4">
        <v>1100</v>
      </c>
      <c r="AT199" s="4">
        <v>131.34</v>
      </c>
      <c r="AU199" s="4">
        <v>32.340000000000003</v>
      </c>
      <c r="AW199" s="4">
        <v>220</v>
      </c>
      <c r="AX199" s="4">
        <v>6.6</v>
      </c>
      <c r="BA199" s="4">
        <v>149.80000000000001</v>
      </c>
      <c r="BB199" s="4">
        <v>1.5</v>
      </c>
      <c r="BC199" s="4" t="s">
        <v>791</v>
      </c>
      <c r="BD199" s="4" t="s">
        <v>703</v>
      </c>
      <c r="BE199" s="4" t="s">
        <v>91</v>
      </c>
      <c r="BF199" s="4">
        <v>11.4</v>
      </c>
      <c r="BG199" s="4">
        <v>41</v>
      </c>
      <c r="BI199" s="4">
        <v>2.7</v>
      </c>
      <c r="BK199" s="4">
        <v>0.3</v>
      </c>
      <c r="BL199" s="4" t="s">
        <v>793</v>
      </c>
      <c r="BM199" s="4" t="s">
        <v>792</v>
      </c>
    </row>
    <row r="200" spans="4:65">
      <c r="D200" s="17" t="str">
        <f t="shared" si="63"/>
        <v>ErgänzungsfuttermittelKatzeVitaminpräparat</v>
      </c>
      <c r="E200" s="4" t="s">
        <v>91</v>
      </c>
      <c r="F200" s="19" t="s">
        <v>90</v>
      </c>
      <c r="G200" s="4" t="s">
        <v>124</v>
      </c>
      <c r="L200" s="4" t="s">
        <v>850</v>
      </c>
      <c r="M200">
        <f t="shared" si="64"/>
        <v>2</v>
      </c>
      <c r="N200">
        <f t="shared" si="65"/>
        <v>4.3</v>
      </c>
      <c r="P200">
        <f t="shared" si="66"/>
        <v>5</v>
      </c>
      <c r="R200">
        <f t="shared" si="67"/>
        <v>0.5</v>
      </c>
      <c r="U200" s="33" t="str">
        <f t="shared" si="68"/>
        <v/>
      </c>
      <c r="V200" s="4">
        <v>110</v>
      </c>
      <c r="AF200" s="4">
        <f t="shared" si="62"/>
        <v>0</v>
      </c>
      <c r="AL200" s="4">
        <f t="shared" si="54"/>
        <v>0</v>
      </c>
      <c r="AO200" s="4">
        <v>11.3</v>
      </c>
      <c r="AP200" s="4">
        <v>5.6</v>
      </c>
      <c r="AQ200" s="4">
        <v>34</v>
      </c>
      <c r="AR200" s="4">
        <v>570</v>
      </c>
      <c r="AT200" s="4">
        <v>34</v>
      </c>
      <c r="AV200" s="4">
        <v>990</v>
      </c>
      <c r="BA200" s="4">
        <v>59.96</v>
      </c>
      <c r="BB200" s="4">
        <v>10</v>
      </c>
      <c r="BC200" s="4" t="s">
        <v>850</v>
      </c>
      <c r="BD200" s="4" t="s">
        <v>834</v>
      </c>
      <c r="BE200" s="4" t="s">
        <v>91</v>
      </c>
      <c r="BF200" s="4">
        <v>2</v>
      </c>
      <c r="BG200" s="4">
        <v>4.3</v>
      </c>
      <c r="BI200" s="4">
        <v>5</v>
      </c>
      <c r="BK200" s="4">
        <v>0.5</v>
      </c>
      <c r="BL200" s="4" t="s">
        <v>852</v>
      </c>
      <c r="BM200" s="4" t="s">
        <v>851</v>
      </c>
    </row>
    <row r="201" spans="4:65">
      <c r="D201" s="17" t="str">
        <f t="shared" si="63"/>
        <v>ErgänzungsfuttermittelKatzeVitaminpräparat</v>
      </c>
      <c r="E201" s="4" t="s">
        <v>91</v>
      </c>
      <c r="F201" s="19" t="s">
        <v>90</v>
      </c>
      <c r="G201" s="4" t="s">
        <v>124</v>
      </c>
      <c r="L201" s="4" t="s">
        <v>853</v>
      </c>
      <c r="M201">
        <f t="shared" si="64"/>
        <v>3.2</v>
      </c>
      <c r="N201">
        <f t="shared" si="65"/>
        <v>6.2</v>
      </c>
      <c r="P201">
        <f t="shared" si="66"/>
        <v>22.2</v>
      </c>
      <c r="R201">
        <f t="shared" si="67"/>
        <v>0.5</v>
      </c>
      <c r="U201" s="33" t="str">
        <f t="shared" si="68"/>
        <v/>
      </c>
      <c r="AF201" s="4">
        <f t="shared" si="62"/>
        <v>0</v>
      </c>
      <c r="AL201" s="4">
        <f t="shared" ref="AL201:AL264" si="69">AK201*$BO$14</f>
        <v>0</v>
      </c>
      <c r="AO201" s="4">
        <v>20</v>
      </c>
      <c r="AQ201" s="4">
        <v>30</v>
      </c>
      <c r="AR201" s="4">
        <v>500</v>
      </c>
      <c r="AV201" s="4">
        <v>10000</v>
      </c>
      <c r="AZ201" s="4">
        <v>5000</v>
      </c>
      <c r="BA201" s="4">
        <v>416.67</v>
      </c>
      <c r="BB201" s="4">
        <v>1</v>
      </c>
      <c r="BC201" s="4" t="s">
        <v>868</v>
      </c>
      <c r="BD201" s="4" t="s">
        <v>854</v>
      </c>
      <c r="BE201" s="4" t="s">
        <v>91</v>
      </c>
      <c r="BF201" s="4">
        <v>3.2</v>
      </c>
      <c r="BG201" s="4">
        <v>6.2</v>
      </c>
      <c r="BI201" s="4">
        <v>22.2</v>
      </c>
      <c r="BK201" s="4">
        <v>0.5</v>
      </c>
      <c r="BL201" s="4" t="s">
        <v>856</v>
      </c>
      <c r="BM201" s="4" t="s">
        <v>855</v>
      </c>
    </row>
    <row r="202" spans="4:65">
      <c r="D202" s="17" t="str">
        <f t="shared" ref="D202:D233" si="70">E202&amp;""&amp;F202&amp;""&amp;G202&amp;""&amp;H202</f>
        <v>ErgänzungsfuttermittelKatzeVitaminpräparat</v>
      </c>
      <c r="E202" s="4" t="s">
        <v>91</v>
      </c>
      <c r="F202" s="4" t="s">
        <v>90</v>
      </c>
      <c r="G202" s="4" t="s">
        <v>124</v>
      </c>
      <c r="L202" s="4" t="s">
        <v>857</v>
      </c>
      <c r="M202">
        <f t="shared" ref="M202:M233" si="71">BF202</f>
        <v>3.5</v>
      </c>
      <c r="N202">
        <f t="shared" ref="N202:N233" si="72">BG202</f>
        <v>21.2</v>
      </c>
      <c r="P202">
        <f t="shared" ref="P202:P233" si="73">BI202</f>
        <v>0.5</v>
      </c>
      <c r="R202">
        <f t="shared" ref="R202:R233" si="74">BK202</f>
        <v>0.5</v>
      </c>
      <c r="U202" s="33" t="str">
        <f t="shared" si="68"/>
        <v/>
      </c>
      <c r="AF202" s="4">
        <f t="shared" si="62"/>
        <v>0</v>
      </c>
      <c r="AL202" s="4">
        <f t="shared" si="69"/>
        <v>0</v>
      </c>
      <c r="AR202" s="4">
        <v>10000</v>
      </c>
      <c r="BA202" s="4">
        <v>320</v>
      </c>
      <c r="BB202" s="4">
        <v>0.5</v>
      </c>
      <c r="BC202" s="4" t="s">
        <v>867</v>
      </c>
      <c r="BD202" s="4" t="s">
        <v>854</v>
      </c>
      <c r="BE202" s="4" t="s">
        <v>91</v>
      </c>
      <c r="BF202" s="4">
        <v>3.5</v>
      </c>
      <c r="BG202" s="4">
        <v>21.2</v>
      </c>
      <c r="BI202" s="4">
        <v>0.5</v>
      </c>
      <c r="BK202" s="4">
        <v>0.5</v>
      </c>
      <c r="BL202" s="4" t="s">
        <v>859</v>
      </c>
      <c r="BM202" s="4" t="s">
        <v>858</v>
      </c>
    </row>
    <row r="203" spans="4:65">
      <c r="D203" s="17" t="str">
        <f t="shared" si="70"/>
        <v>ErgänzungsfuttermittelKatzeVitaminpräparat</v>
      </c>
      <c r="E203" s="4" t="s">
        <v>91</v>
      </c>
      <c r="F203" s="4" t="s">
        <v>90</v>
      </c>
      <c r="G203" s="4" t="s">
        <v>124</v>
      </c>
      <c r="L203" s="4" t="s">
        <v>877</v>
      </c>
      <c r="M203">
        <f t="shared" si="71"/>
        <v>0.8</v>
      </c>
      <c r="N203">
        <f t="shared" si="72"/>
        <v>4.5</v>
      </c>
      <c r="P203">
        <f t="shared" si="73"/>
        <v>15.7</v>
      </c>
      <c r="R203">
        <f t="shared" si="74"/>
        <v>0.5</v>
      </c>
      <c r="U203" s="33" t="str">
        <f t="shared" si="68"/>
        <v/>
      </c>
      <c r="AF203" s="4">
        <f t="shared" si="62"/>
        <v>0</v>
      </c>
      <c r="AL203" s="4">
        <f t="shared" si="69"/>
        <v>0</v>
      </c>
      <c r="AN203" s="4">
        <v>100</v>
      </c>
      <c r="AW203" s="4">
        <v>100</v>
      </c>
      <c r="BA203" s="4">
        <v>416.67</v>
      </c>
      <c r="BB203" s="4">
        <v>1</v>
      </c>
      <c r="BC203" s="4" t="s">
        <v>877</v>
      </c>
      <c r="BD203" s="4" t="s">
        <v>854</v>
      </c>
      <c r="BE203" s="4" t="s">
        <v>91</v>
      </c>
      <c r="BF203" s="4">
        <v>0.8</v>
      </c>
      <c r="BG203" s="4">
        <v>4.5</v>
      </c>
      <c r="BI203" s="4">
        <v>15.7</v>
      </c>
      <c r="BK203" s="4">
        <v>0.5</v>
      </c>
      <c r="BL203" s="4" t="s">
        <v>879</v>
      </c>
      <c r="BM203" s="4" t="s">
        <v>878</v>
      </c>
    </row>
    <row r="204" spans="4:65">
      <c r="D204" s="17" t="str">
        <f t="shared" si="70"/>
        <v>ErgänzungsfuttermittelKatzeVitaminpräparat</v>
      </c>
      <c r="E204" s="4" t="s">
        <v>91</v>
      </c>
      <c r="F204" s="19" t="s">
        <v>90</v>
      </c>
      <c r="G204" s="4" t="s">
        <v>124</v>
      </c>
      <c r="L204" s="4" t="s">
        <v>2649</v>
      </c>
      <c r="M204">
        <f t="shared" si="71"/>
        <v>16.5</v>
      </c>
      <c r="N204">
        <f t="shared" si="72"/>
        <v>23.4</v>
      </c>
      <c r="P204">
        <f t="shared" si="73"/>
        <v>18.5</v>
      </c>
      <c r="R204">
        <f t="shared" si="74"/>
        <v>16.5</v>
      </c>
      <c r="U204" s="33" t="str">
        <f t="shared" si="68"/>
        <v/>
      </c>
      <c r="AF204" s="4">
        <f t="shared" si="62"/>
        <v>0</v>
      </c>
      <c r="AL204" s="4">
        <f t="shared" si="69"/>
        <v>0</v>
      </c>
      <c r="AN204" s="4">
        <v>175</v>
      </c>
      <c r="AO204" s="4">
        <v>13.9</v>
      </c>
      <c r="AP204" s="4">
        <v>22.2</v>
      </c>
      <c r="AQ204" s="4">
        <v>11.1</v>
      </c>
      <c r="AR204" s="4">
        <v>150</v>
      </c>
      <c r="AT204" s="4">
        <v>55.6</v>
      </c>
      <c r="AV204" s="4">
        <v>2780</v>
      </c>
      <c r="AW204" s="4">
        <v>97.2</v>
      </c>
      <c r="BA204" s="4">
        <v>330</v>
      </c>
      <c r="BC204" s="4" t="s">
        <v>2649</v>
      </c>
      <c r="BD204" s="4" t="s">
        <v>2646</v>
      </c>
      <c r="BE204" s="4" t="s">
        <v>91</v>
      </c>
      <c r="BF204" s="4">
        <v>16.5</v>
      </c>
      <c r="BG204" s="4">
        <v>23.4</v>
      </c>
      <c r="BI204" s="4">
        <v>18.5</v>
      </c>
      <c r="BK204" s="4">
        <v>16.5</v>
      </c>
      <c r="BL204" s="4" t="s">
        <v>2651</v>
      </c>
      <c r="BM204" s="4" t="s">
        <v>2650</v>
      </c>
    </row>
    <row r="205" spans="4:65">
      <c r="D205" s="17" t="str">
        <f t="shared" si="70"/>
        <v>ErgänzungsfuttermittelKatzeVitaminpräparat</v>
      </c>
      <c r="E205" s="4" t="s">
        <v>91</v>
      </c>
      <c r="F205" s="19" t="s">
        <v>90</v>
      </c>
      <c r="G205" s="4" t="s">
        <v>124</v>
      </c>
      <c r="L205" s="4" t="s">
        <v>871</v>
      </c>
      <c r="M205">
        <f t="shared" si="71"/>
        <v>1.5</v>
      </c>
      <c r="N205">
        <f t="shared" si="72"/>
        <v>3.5</v>
      </c>
      <c r="P205">
        <f t="shared" si="73"/>
        <v>15.8</v>
      </c>
      <c r="R205">
        <f t="shared" si="74"/>
        <v>0.5</v>
      </c>
      <c r="U205" s="33" t="str">
        <f t="shared" si="68"/>
        <v/>
      </c>
      <c r="AF205" s="4">
        <f t="shared" si="62"/>
        <v>0</v>
      </c>
      <c r="AL205" s="4">
        <f t="shared" si="69"/>
        <v>0</v>
      </c>
      <c r="AW205" s="4">
        <v>1000</v>
      </c>
      <c r="BA205" s="4">
        <v>400</v>
      </c>
      <c r="BB205" s="4">
        <v>1</v>
      </c>
      <c r="BC205" s="4" t="s">
        <v>871</v>
      </c>
      <c r="BD205" s="4" t="s">
        <v>854</v>
      </c>
      <c r="BE205" s="4" t="s">
        <v>91</v>
      </c>
      <c r="BF205" s="4">
        <v>1.5</v>
      </c>
      <c r="BG205" s="4">
        <v>3.5</v>
      </c>
      <c r="BI205" s="4">
        <v>15.8</v>
      </c>
      <c r="BK205" s="4">
        <v>0.5</v>
      </c>
      <c r="BL205" s="4" t="s">
        <v>873</v>
      </c>
      <c r="BM205" s="4" t="s">
        <v>872</v>
      </c>
    </row>
    <row r="206" spans="4:65">
      <c r="D206" s="17" t="str">
        <f t="shared" si="70"/>
        <v>ErgänzungsfuttermittelKatzeVitaminpräparat</v>
      </c>
      <c r="E206" s="4" t="s">
        <v>91</v>
      </c>
      <c r="F206" s="19" t="s">
        <v>90</v>
      </c>
      <c r="G206" s="4" t="s">
        <v>124</v>
      </c>
      <c r="L206" s="4" t="s">
        <v>880</v>
      </c>
      <c r="M206">
        <f t="shared" si="71"/>
        <v>1</v>
      </c>
      <c r="N206">
        <f t="shared" si="72"/>
        <v>1.8</v>
      </c>
      <c r="P206">
        <f t="shared" si="73"/>
        <v>12.4</v>
      </c>
      <c r="R206">
        <f t="shared" si="74"/>
        <v>0.5</v>
      </c>
      <c r="U206" s="33" t="str">
        <f t="shared" si="68"/>
        <v/>
      </c>
      <c r="AF206" s="4">
        <f t="shared" si="62"/>
        <v>0</v>
      </c>
      <c r="AL206" s="4">
        <f t="shared" si="69"/>
        <v>0</v>
      </c>
      <c r="AR206" s="4">
        <v>1000</v>
      </c>
      <c r="BA206" s="4">
        <v>416.67</v>
      </c>
      <c r="BB206" s="4">
        <v>1</v>
      </c>
      <c r="BC206" s="4" t="s">
        <v>880</v>
      </c>
      <c r="BD206" s="4" t="s">
        <v>854</v>
      </c>
      <c r="BE206" s="4" t="s">
        <v>91</v>
      </c>
      <c r="BF206" s="4">
        <v>1</v>
      </c>
      <c r="BG206" s="4">
        <v>1.8</v>
      </c>
      <c r="BI206" s="4">
        <v>12.4</v>
      </c>
      <c r="BK206" s="4">
        <v>0.5</v>
      </c>
      <c r="BL206" s="4" t="s">
        <v>882</v>
      </c>
      <c r="BM206" s="4" t="s">
        <v>881</v>
      </c>
    </row>
    <row r="207" spans="4:65">
      <c r="D207" s="17" t="str">
        <f t="shared" si="70"/>
        <v>ErgänzungsfuttermittelKatzeVitaminpräparat</v>
      </c>
      <c r="E207" s="4" t="s">
        <v>91</v>
      </c>
      <c r="F207" s="19" t="s">
        <v>90</v>
      </c>
      <c r="G207" s="4" t="s">
        <v>124</v>
      </c>
      <c r="L207" s="4" t="s">
        <v>888</v>
      </c>
      <c r="M207">
        <f t="shared" si="71"/>
        <v>5</v>
      </c>
      <c r="N207">
        <f t="shared" si="72"/>
        <v>2</v>
      </c>
      <c r="P207">
        <f t="shared" si="73"/>
        <v>0</v>
      </c>
      <c r="R207">
        <f t="shared" si="74"/>
        <v>0</v>
      </c>
      <c r="U207" s="33" t="str">
        <f t="shared" si="68"/>
        <v/>
      </c>
      <c r="V207" s="4">
        <v>2040</v>
      </c>
      <c r="AF207" s="4">
        <f t="shared" si="62"/>
        <v>0</v>
      </c>
      <c r="AL207" s="4">
        <f t="shared" si="69"/>
        <v>0</v>
      </c>
      <c r="AR207" s="4">
        <v>2500</v>
      </c>
      <c r="BA207" s="4">
        <v>79.599999999999994</v>
      </c>
      <c r="BB207" s="4">
        <v>1</v>
      </c>
      <c r="BC207" s="4" t="s">
        <v>166</v>
      </c>
      <c r="BD207" s="4" t="s">
        <v>883</v>
      </c>
      <c r="BE207" s="4" t="s">
        <v>91</v>
      </c>
      <c r="BF207" s="4">
        <v>5</v>
      </c>
      <c r="BG207" s="4">
        <v>2</v>
      </c>
      <c r="BI207" s="4">
        <v>0</v>
      </c>
      <c r="BK207" s="4">
        <v>0</v>
      </c>
      <c r="BL207" s="4" t="s">
        <v>890</v>
      </c>
      <c r="BM207" s="4" t="s">
        <v>889</v>
      </c>
    </row>
    <row r="208" spans="4:65">
      <c r="D208" s="17" t="str">
        <f t="shared" si="70"/>
        <v>ErgänzungsfuttermittelKatzeVitaminpräparat</v>
      </c>
      <c r="E208" s="4" t="s">
        <v>91</v>
      </c>
      <c r="F208" s="19" t="s">
        <v>90</v>
      </c>
      <c r="G208" s="4" t="s">
        <v>124</v>
      </c>
      <c r="L208" s="4" t="s">
        <v>608</v>
      </c>
      <c r="M208">
        <f t="shared" si="71"/>
        <v>5.5</v>
      </c>
      <c r="N208">
        <f t="shared" si="72"/>
        <v>7</v>
      </c>
      <c r="P208">
        <f t="shared" si="73"/>
        <v>33</v>
      </c>
      <c r="R208">
        <f t="shared" si="74"/>
        <v>2.5</v>
      </c>
      <c r="U208" s="33" t="str">
        <f t="shared" si="68"/>
        <v/>
      </c>
      <c r="AF208" s="4">
        <f t="shared" si="62"/>
        <v>0</v>
      </c>
      <c r="AL208" s="4">
        <f t="shared" si="69"/>
        <v>0</v>
      </c>
      <c r="AS208" s="4">
        <v>4000</v>
      </c>
      <c r="BA208" s="4">
        <v>56.9</v>
      </c>
      <c r="BB208" s="4">
        <v>3</v>
      </c>
      <c r="BC208" s="4" t="s">
        <v>608</v>
      </c>
      <c r="BD208" s="4" t="s">
        <v>578</v>
      </c>
      <c r="BE208" s="4" t="s">
        <v>91</v>
      </c>
      <c r="BF208" s="4">
        <v>5.5</v>
      </c>
      <c r="BG208" s="4">
        <v>7</v>
      </c>
      <c r="BI208" s="4">
        <v>33</v>
      </c>
      <c r="BK208" s="4">
        <v>2.5</v>
      </c>
      <c r="BL208" s="4" t="s">
        <v>610</v>
      </c>
      <c r="BM208" s="4" t="s">
        <v>609</v>
      </c>
    </row>
    <row r="209" spans="4:65">
      <c r="D209" s="17" t="str">
        <f t="shared" si="70"/>
        <v>ErgänzungsfuttermittelKatzeVitaminpräparat</v>
      </c>
      <c r="E209" s="4" t="s">
        <v>91</v>
      </c>
      <c r="F209" s="19" t="s">
        <v>90</v>
      </c>
      <c r="G209" s="4" t="s">
        <v>124</v>
      </c>
      <c r="L209" s="4" t="s">
        <v>611</v>
      </c>
      <c r="M209">
        <f t="shared" si="71"/>
        <v>6</v>
      </c>
      <c r="N209">
        <f t="shared" si="72"/>
        <v>4.5</v>
      </c>
      <c r="P209">
        <f t="shared" si="73"/>
        <v>37.5</v>
      </c>
      <c r="R209">
        <f t="shared" si="74"/>
        <v>2</v>
      </c>
      <c r="U209" s="33" t="str">
        <f t="shared" si="68"/>
        <v/>
      </c>
      <c r="AF209" s="4">
        <f t="shared" si="62"/>
        <v>0</v>
      </c>
      <c r="AL209" s="4">
        <f t="shared" si="69"/>
        <v>0</v>
      </c>
      <c r="AN209" s="4">
        <v>150</v>
      </c>
      <c r="BA209" s="4">
        <v>75.8</v>
      </c>
      <c r="BB209" s="4">
        <v>3</v>
      </c>
      <c r="BC209" s="4" t="s">
        <v>612</v>
      </c>
      <c r="BD209" s="4" t="s">
        <v>578</v>
      </c>
      <c r="BE209" s="4" t="s">
        <v>91</v>
      </c>
      <c r="BF209" s="4">
        <v>6</v>
      </c>
      <c r="BG209" s="4">
        <v>4.5</v>
      </c>
      <c r="BI209" s="4">
        <v>37.5</v>
      </c>
      <c r="BK209" s="4">
        <v>2</v>
      </c>
      <c r="BL209" s="4" t="s">
        <v>614</v>
      </c>
      <c r="BM209" s="4" t="s">
        <v>613</v>
      </c>
    </row>
    <row r="210" spans="4:65">
      <c r="D210" s="17" t="str">
        <f t="shared" si="70"/>
        <v>ErgänzungsfuttermittelKatzeVitaminpräparat</v>
      </c>
      <c r="E210" s="4" t="s">
        <v>91</v>
      </c>
      <c r="F210" s="19" t="s">
        <v>90</v>
      </c>
      <c r="G210" s="4" t="s">
        <v>124</v>
      </c>
      <c r="L210" s="4" t="s">
        <v>633</v>
      </c>
      <c r="M210">
        <f t="shared" si="71"/>
        <v>6</v>
      </c>
      <c r="N210">
        <f t="shared" si="72"/>
        <v>22</v>
      </c>
      <c r="P210">
        <f t="shared" si="73"/>
        <v>12.5</v>
      </c>
      <c r="R210">
        <f t="shared" si="74"/>
        <v>14</v>
      </c>
      <c r="U210" s="33" t="str">
        <f t="shared" si="68"/>
        <v/>
      </c>
      <c r="AF210" s="4">
        <f t="shared" si="62"/>
        <v>0</v>
      </c>
      <c r="AL210" s="4">
        <f t="shared" si="69"/>
        <v>0</v>
      </c>
      <c r="AM210" s="4">
        <v>26</v>
      </c>
      <c r="BA210" s="4">
        <v>49.75</v>
      </c>
      <c r="BC210" s="4" t="s">
        <v>633</v>
      </c>
      <c r="BD210" s="4" t="s">
        <v>578</v>
      </c>
      <c r="BE210" s="4" t="s">
        <v>91</v>
      </c>
      <c r="BF210" s="4">
        <v>6</v>
      </c>
      <c r="BG210" s="4">
        <v>22</v>
      </c>
      <c r="BI210" s="4">
        <v>12.5</v>
      </c>
      <c r="BK210" s="4">
        <v>14</v>
      </c>
      <c r="BL210" s="4" t="s">
        <v>635</v>
      </c>
      <c r="BM210" s="4" t="s">
        <v>634</v>
      </c>
    </row>
    <row r="211" spans="4:65">
      <c r="D211" s="17" t="str">
        <f t="shared" si="70"/>
        <v>ErgänzungsfuttermittelKatzeVitaminpräparat</v>
      </c>
      <c r="E211" s="4" t="s">
        <v>91</v>
      </c>
      <c r="F211" s="19" t="s">
        <v>90</v>
      </c>
      <c r="G211" s="4" t="s">
        <v>124</v>
      </c>
      <c r="L211" s="4" t="s">
        <v>753</v>
      </c>
      <c r="M211">
        <f t="shared" si="71"/>
        <v>5.0999999999999996</v>
      </c>
      <c r="N211">
        <f t="shared" si="72"/>
        <v>1.4</v>
      </c>
      <c r="P211">
        <f t="shared" si="73"/>
        <v>75.599999999999994</v>
      </c>
      <c r="R211">
        <f t="shared" si="74"/>
        <v>0.3</v>
      </c>
      <c r="U211" s="33" t="str">
        <f t="shared" si="68"/>
        <v/>
      </c>
      <c r="AF211" s="4">
        <f t="shared" si="62"/>
        <v>0</v>
      </c>
      <c r="AL211" s="4">
        <f t="shared" si="69"/>
        <v>0</v>
      </c>
      <c r="AN211" s="4">
        <v>900</v>
      </c>
      <c r="BA211" s="4">
        <v>114.9</v>
      </c>
      <c r="BC211" s="4" t="s">
        <v>754</v>
      </c>
      <c r="BD211" s="4" t="s">
        <v>703</v>
      </c>
      <c r="BE211" s="4" t="s">
        <v>91</v>
      </c>
      <c r="BF211" s="4">
        <v>5.0999999999999996</v>
      </c>
      <c r="BG211" s="4">
        <v>1.4</v>
      </c>
      <c r="BI211" s="4">
        <v>75.599999999999994</v>
      </c>
      <c r="BK211" s="4">
        <v>0.3</v>
      </c>
      <c r="BL211" s="4" t="s">
        <v>756</v>
      </c>
      <c r="BM211" s="4" t="s">
        <v>755</v>
      </c>
    </row>
    <row r="212" spans="4:65">
      <c r="D212" s="17" t="str">
        <f t="shared" si="70"/>
        <v>ErgänzungsfuttermittelKatzeVitaminpräparat</v>
      </c>
      <c r="E212" s="4" t="s">
        <v>91</v>
      </c>
      <c r="F212" s="19" t="s">
        <v>90</v>
      </c>
      <c r="G212" s="4" t="s">
        <v>124</v>
      </c>
      <c r="L212" s="4" t="s">
        <v>797</v>
      </c>
      <c r="M212">
        <f t="shared" si="71"/>
        <v>16.100000000000001</v>
      </c>
      <c r="N212">
        <f t="shared" si="72"/>
        <v>21</v>
      </c>
      <c r="P212">
        <f t="shared" si="73"/>
        <v>0.4</v>
      </c>
      <c r="R212">
        <f t="shared" si="74"/>
        <v>0.6</v>
      </c>
      <c r="U212" s="33" t="str">
        <f t="shared" si="68"/>
        <v/>
      </c>
      <c r="AF212" s="4">
        <f t="shared" si="62"/>
        <v>0</v>
      </c>
      <c r="AL212" s="4">
        <f t="shared" si="69"/>
        <v>0</v>
      </c>
      <c r="AW212" s="4">
        <v>2200</v>
      </c>
      <c r="BA212" s="4">
        <v>87.96</v>
      </c>
      <c r="BB212" s="4">
        <v>5</v>
      </c>
      <c r="BC212" s="4" t="s">
        <v>798</v>
      </c>
      <c r="BD212" s="4" t="s">
        <v>703</v>
      </c>
      <c r="BE212" s="4" t="s">
        <v>91</v>
      </c>
      <c r="BF212" s="4">
        <v>16.100000000000001</v>
      </c>
      <c r="BG212" s="4">
        <v>21</v>
      </c>
      <c r="BI212" s="4">
        <v>0.4</v>
      </c>
      <c r="BK212" s="4">
        <v>0.6</v>
      </c>
      <c r="BL212" s="4" t="s">
        <v>800</v>
      </c>
      <c r="BM212" s="4" t="s">
        <v>799</v>
      </c>
    </row>
    <row r="213" spans="4:65">
      <c r="D213" s="17" t="str">
        <f t="shared" si="70"/>
        <v>ErgänzungsfuttermittelKatzeVitaminpräparat</v>
      </c>
      <c r="E213" s="4" t="s">
        <v>91</v>
      </c>
      <c r="F213" s="19" t="s">
        <v>90</v>
      </c>
      <c r="G213" s="4" t="s">
        <v>124</v>
      </c>
      <c r="L213" s="4" t="s">
        <v>1811</v>
      </c>
      <c r="M213">
        <f t="shared" si="71"/>
        <v>6</v>
      </c>
      <c r="N213">
        <f t="shared" si="72"/>
        <v>38.5</v>
      </c>
      <c r="P213">
        <f t="shared" si="73"/>
        <v>7.5</v>
      </c>
      <c r="R213">
        <f t="shared" si="74"/>
        <v>20.7</v>
      </c>
      <c r="U213" s="33" t="str">
        <f t="shared" si="68"/>
        <v/>
      </c>
      <c r="AF213" s="4">
        <f t="shared" si="62"/>
        <v>0</v>
      </c>
      <c r="AL213" s="4">
        <f t="shared" si="69"/>
        <v>0</v>
      </c>
      <c r="AO213" s="4">
        <v>760</v>
      </c>
      <c r="BA213" s="4">
        <v>79.069999999999993</v>
      </c>
      <c r="BC213" s="4" t="s">
        <v>1811</v>
      </c>
      <c r="BD213" s="4" t="s">
        <v>1811</v>
      </c>
      <c r="BE213" s="4" t="s">
        <v>91</v>
      </c>
      <c r="BF213" s="4">
        <v>6</v>
      </c>
      <c r="BG213" s="4">
        <v>38.5</v>
      </c>
      <c r="BI213" s="4">
        <v>7.5</v>
      </c>
      <c r="BK213" s="4">
        <v>20.7</v>
      </c>
      <c r="BL213" s="4" t="s">
        <v>1813</v>
      </c>
      <c r="BM213" s="4" t="s">
        <v>1812</v>
      </c>
    </row>
    <row r="214" spans="4:65">
      <c r="D214" s="17" t="str">
        <f t="shared" si="70"/>
        <v>ErgänzungsfuttermittelKatzeVitaminpräparat</v>
      </c>
      <c r="E214" s="4" t="s">
        <v>91</v>
      </c>
      <c r="F214" s="19" t="s">
        <v>90</v>
      </c>
      <c r="G214" s="4" t="s">
        <v>124</v>
      </c>
      <c r="L214" s="4" t="s">
        <v>1503</v>
      </c>
      <c r="M214">
        <f t="shared" si="71"/>
        <v>0.65</v>
      </c>
      <c r="N214">
        <f t="shared" si="72"/>
        <v>2</v>
      </c>
      <c r="P214">
        <f t="shared" si="73"/>
        <v>0</v>
      </c>
      <c r="R214">
        <f t="shared" si="74"/>
        <v>0</v>
      </c>
      <c r="U214" s="33" t="str">
        <f t="shared" si="68"/>
        <v/>
      </c>
      <c r="AF214" s="4">
        <f t="shared" si="62"/>
        <v>0</v>
      </c>
      <c r="AL214" s="4">
        <f t="shared" si="69"/>
        <v>0</v>
      </c>
      <c r="AW214" s="4">
        <v>300</v>
      </c>
      <c r="BA214" s="4">
        <v>153.63999999999999</v>
      </c>
      <c r="BC214" s="4" t="s">
        <v>1503</v>
      </c>
      <c r="BD214" s="4" t="s">
        <v>1415</v>
      </c>
      <c r="BE214" s="4" t="s">
        <v>91</v>
      </c>
      <c r="BF214" s="4">
        <v>0.65</v>
      </c>
      <c r="BG214" s="4">
        <v>2</v>
      </c>
      <c r="BI214" s="4">
        <v>0</v>
      </c>
      <c r="BK214" s="4">
        <v>0</v>
      </c>
      <c r="BL214" s="4" t="s">
        <v>1504</v>
      </c>
      <c r="BM214" s="4" t="s">
        <v>1505</v>
      </c>
    </row>
    <row r="215" spans="4:65">
      <c r="D215" s="17" t="str">
        <f t="shared" si="70"/>
        <v>ErgänzungsfuttermittelKatzeVitaminpräparat</v>
      </c>
      <c r="E215" s="4" t="s">
        <v>91</v>
      </c>
      <c r="F215" s="19" t="s">
        <v>90</v>
      </c>
      <c r="G215" s="4" t="s">
        <v>124</v>
      </c>
      <c r="L215" s="4" t="s">
        <v>1322</v>
      </c>
      <c r="M215">
        <f t="shared" si="71"/>
        <v>7.2</v>
      </c>
      <c r="N215">
        <f t="shared" si="72"/>
        <v>37.299999999999997</v>
      </c>
      <c r="P215">
        <f t="shared" si="73"/>
        <v>1.8</v>
      </c>
      <c r="R215">
        <f t="shared" si="74"/>
        <v>5</v>
      </c>
      <c r="S215" s="4">
        <v>1400</v>
      </c>
      <c r="T215" s="4">
        <v>1000</v>
      </c>
      <c r="U215" s="33">
        <f t="shared" si="68"/>
        <v>1.4</v>
      </c>
      <c r="V215" s="4">
        <v>100</v>
      </c>
      <c r="W215" s="4">
        <v>200</v>
      </c>
      <c r="X215" s="4">
        <v>300</v>
      </c>
      <c r="Y215" s="4">
        <v>400</v>
      </c>
      <c r="AF215" s="4">
        <f t="shared" ref="AF215:AF246" si="75">AG215*$BO$13</f>
        <v>0</v>
      </c>
      <c r="AL215" s="4">
        <f t="shared" si="69"/>
        <v>0</v>
      </c>
      <c r="AQ215" s="4">
        <v>10000</v>
      </c>
      <c r="BA215" s="4">
        <v>1739.78</v>
      </c>
      <c r="BB215" s="4">
        <v>1.8</v>
      </c>
      <c r="BC215" s="4" t="s">
        <v>1322</v>
      </c>
      <c r="BD215" s="4" t="s">
        <v>1285</v>
      </c>
      <c r="BE215" s="4" t="s">
        <v>91</v>
      </c>
      <c r="BF215" s="4">
        <v>7.2</v>
      </c>
      <c r="BG215" s="4">
        <v>37.299999999999997</v>
      </c>
      <c r="BI215" s="4">
        <v>1.8</v>
      </c>
      <c r="BK215" s="4">
        <v>5</v>
      </c>
      <c r="BL215" s="4" t="s">
        <v>1324</v>
      </c>
      <c r="BM215" s="4" t="s">
        <v>1323</v>
      </c>
    </row>
    <row r="216" spans="4:65">
      <c r="D216" s="17" t="str">
        <f t="shared" si="70"/>
        <v>ErgänzungsfuttermittelKatzeVitaminpräparat</v>
      </c>
      <c r="E216" s="4" t="s">
        <v>91</v>
      </c>
      <c r="F216" s="19" t="s">
        <v>90</v>
      </c>
      <c r="G216" s="4" t="s">
        <v>124</v>
      </c>
      <c r="L216" s="4" t="s">
        <v>1350</v>
      </c>
      <c r="M216">
        <f t="shared" si="71"/>
        <v>1.5</v>
      </c>
      <c r="N216">
        <f t="shared" si="72"/>
        <v>16.7</v>
      </c>
      <c r="P216">
        <f t="shared" si="73"/>
        <v>45.6</v>
      </c>
      <c r="R216">
        <f t="shared" si="74"/>
        <v>0.5</v>
      </c>
      <c r="U216" s="33" t="str">
        <f t="shared" si="68"/>
        <v/>
      </c>
      <c r="AF216" s="4">
        <f t="shared" si="75"/>
        <v>0</v>
      </c>
      <c r="AL216" s="4">
        <f t="shared" si="69"/>
        <v>0</v>
      </c>
      <c r="AN216" s="4">
        <v>1500</v>
      </c>
      <c r="AZ216" s="4">
        <v>3000</v>
      </c>
      <c r="BA216" s="4">
        <v>169.98</v>
      </c>
      <c r="BB216" s="4">
        <v>3</v>
      </c>
      <c r="BC216" s="4" t="s">
        <v>1350</v>
      </c>
      <c r="BD216" s="4" t="s">
        <v>1285</v>
      </c>
      <c r="BE216" s="4" t="s">
        <v>91</v>
      </c>
      <c r="BF216" s="4">
        <v>1.5</v>
      </c>
      <c r="BG216" s="4">
        <v>16.7</v>
      </c>
      <c r="BI216" s="4">
        <v>45.6</v>
      </c>
      <c r="BK216" s="4">
        <v>0.5</v>
      </c>
      <c r="BL216" s="4" t="s">
        <v>1352</v>
      </c>
      <c r="BM216" s="4" t="s">
        <v>1351</v>
      </c>
    </row>
    <row r="217" spans="4:65">
      <c r="D217" s="17" t="str">
        <f t="shared" si="70"/>
        <v>ErgänzungsfuttermittelKatzeVitaminpräparat</v>
      </c>
      <c r="E217" s="4" t="s">
        <v>91</v>
      </c>
      <c r="F217" s="4" t="s">
        <v>90</v>
      </c>
      <c r="G217" s="4" t="s">
        <v>124</v>
      </c>
      <c r="L217" s="4" t="s">
        <v>980</v>
      </c>
      <c r="M217">
        <f t="shared" si="71"/>
        <v>19</v>
      </c>
      <c r="N217">
        <f t="shared" si="72"/>
        <v>27.5</v>
      </c>
      <c r="P217">
        <f t="shared" si="73"/>
        <v>10.5</v>
      </c>
      <c r="R217">
        <f t="shared" si="74"/>
        <v>6.5</v>
      </c>
      <c r="U217" s="33" t="str">
        <f t="shared" si="68"/>
        <v/>
      </c>
      <c r="AF217" s="4">
        <f t="shared" si="75"/>
        <v>0</v>
      </c>
      <c r="AL217" s="4">
        <f t="shared" si="69"/>
        <v>0</v>
      </c>
      <c r="AN217" s="4">
        <v>2100</v>
      </c>
      <c r="BA217" s="4">
        <v>664.4</v>
      </c>
      <c r="BB217" s="4">
        <v>1.2</v>
      </c>
      <c r="BC217" s="4" t="s">
        <v>980</v>
      </c>
      <c r="BD217" s="4" t="s">
        <v>960</v>
      </c>
      <c r="BE217" s="4" t="s">
        <v>91</v>
      </c>
      <c r="BF217" s="4">
        <v>19</v>
      </c>
      <c r="BG217" s="4">
        <v>27.5</v>
      </c>
      <c r="BI217" s="4">
        <v>10.5</v>
      </c>
      <c r="BK217" s="4">
        <v>6.5</v>
      </c>
      <c r="BL217" s="4" t="s">
        <v>982</v>
      </c>
      <c r="BM217" s="4" t="s">
        <v>981</v>
      </c>
    </row>
    <row r="218" spans="4:65">
      <c r="D218" s="17" t="str">
        <f t="shared" si="70"/>
        <v>ErgänzungsfuttermittelKatzeVitaminpräparat</v>
      </c>
      <c r="E218" s="4" t="s">
        <v>91</v>
      </c>
      <c r="F218" s="19" t="s">
        <v>90</v>
      </c>
      <c r="G218" s="4" t="s">
        <v>124</v>
      </c>
      <c r="L218" s="4" t="s">
        <v>983</v>
      </c>
      <c r="M218">
        <f t="shared" si="71"/>
        <v>13.9</v>
      </c>
      <c r="N218">
        <f t="shared" si="72"/>
        <v>29.4</v>
      </c>
      <c r="P218">
        <f t="shared" si="73"/>
        <v>11.5</v>
      </c>
      <c r="R218">
        <f t="shared" si="74"/>
        <v>1.1000000000000001</v>
      </c>
      <c r="U218" s="33" t="str">
        <f t="shared" si="68"/>
        <v/>
      </c>
      <c r="AF218" s="4">
        <f t="shared" si="75"/>
        <v>0</v>
      </c>
      <c r="AL218" s="4">
        <f t="shared" si="69"/>
        <v>0</v>
      </c>
      <c r="AN218" s="4">
        <v>1800</v>
      </c>
      <c r="BA218" s="4">
        <v>802.7</v>
      </c>
      <c r="BB218" s="4">
        <v>0.6</v>
      </c>
      <c r="BC218" s="4" t="s">
        <v>983</v>
      </c>
      <c r="BD218" s="4" t="s">
        <v>960</v>
      </c>
      <c r="BE218" s="4" t="s">
        <v>91</v>
      </c>
      <c r="BF218" s="4">
        <v>13.9</v>
      </c>
      <c r="BG218" s="4">
        <v>29.4</v>
      </c>
      <c r="BI218" s="4">
        <v>11.5</v>
      </c>
      <c r="BK218" s="4">
        <v>1.1000000000000001</v>
      </c>
      <c r="BL218" s="4" t="s">
        <v>985</v>
      </c>
      <c r="BM218" s="4" t="s">
        <v>984</v>
      </c>
    </row>
    <row r="219" spans="4:65">
      <c r="D219" s="17" t="str">
        <f t="shared" si="70"/>
        <v>ErgänzungsfuttermittelKatzeVitaminpräparat</v>
      </c>
      <c r="E219" s="4" t="s">
        <v>91</v>
      </c>
      <c r="F219" s="19" t="s">
        <v>90</v>
      </c>
      <c r="G219" s="4" t="s">
        <v>124</v>
      </c>
      <c r="L219" s="4" t="s">
        <v>989</v>
      </c>
      <c r="M219">
        <f t="shared" si="71"/>
        <v>10.5</v>
      </c>
      <c r="N219">
        <f t="shared" si="72"/>
        <v>8</v>
      </c>
      <c r="P219">
        <f t="shared" si="73"/>
        <v>8.5</v>
      </c>
      <c r="R219">
        <f t="shared" si="74"/>
        <v>10.5</v>
      </c>
      <c r="U219" s="33" t="str">
        <f t="shared" si="68"/>
        <v/>
      </c>
      <c r="AF219" s="4">
        <f t="shared" si="75"/>
        <v>0</v>
      </c>
      <c r="AL219" s="4">
        <f t="shared" si="69"/>
        <v>0</v>
      </c>
      <c r="AR219" s="4">
        <v>450</v>
      </c>
      <c r="BA219" s="4">
        <v>626.70000000000005</v>
      </c>
      <c r="BB219" s="4">
        <v>0.9</v>
      </c>
      <c r="BC219" s="4" t="s">
        <v>989</v>
      </c>
      <c r="BD219" s="4" t="s">
        <v>960</v>
      </c>
      <c r="BE219" s="4" t="s">
        <v>91</v>
      </c>
      <c r="BF219" s="4">
        <v>10.5</v>
      </c>
      <c r="BG219" s="4">
        <v>8</v>
      </c>
      <c r="BI219" s="4">
        <v>8.5</v>
      </c>
      <c r="BK219" s="4">
        <v>10.5</v>
      </c>
      <c r="BL219" s="4" t="s">
        <v>991</v>
      </c>
      <c r="BM219" s="4" t="s">
        <v>990</v>
      </c>
    </row>
    <row r="220" spans="4:65">
      <c r="D220" s="17" t="str">
        <f t="shared" si="70"/>
        <v>ErgänzungsfuttermittelKatzeVitaminpräparat</v>
      </c>
      <c r="E220" s="4" t="s">
        <v>91</v>
      </c>
      <c r="F220" s="4" t="s">
        <v>90</v>
      </c>
      <c r="G220" s="4" t="s">
        <v>124</v>
      </c>
      <c r="L220" s="4" t="s">
        <v>1050</v>
      </c>
      <c r="M220">
        <f t="shared" si="71"/>
        <v>4.5</v>
      </c>
      <c r="N220">
        <f t="shared" si="72"/>
        <v>7.4</v>
      </c>
      <c r="P220">
        <f t="shared" si="73"/>
        <v>49.3</v>
      </c>
      <c r="R220">
        <f t="shared" si="74"/>
        <v>0.9</v>
      </c>
      <c r="U220" s="33" t="str">
        <f t="shared" si="68"/>
        <v/>
      </c>
      <c r="AF220" s="4">
        <f t="shared" si="75"/>
        <v>0</v>
      </c>
      <c r="AL220" s="4">
        <f t="shared" si="69"/>
        <v>0</v>
      </c>
      <c r="AO220" s="4">
        <v>44</v>
      </c>
      <c r="AP220" s="4">
        <v>30</v>
      </c>
      <c r="AQ220" s="4">
        <v>18</v>
      </c>
      <c r="AR220" s="4">
        <v>230</v>
      </c>
      <c r="AS220" s="4">
        <v>560</v>
      </c>
      <c r="AT220" s="4">
        <v>300</v>
      </c>
      <c r="AU220" s="4">
        <v>44</v>
      </c>
      <c r="AV220" s="4">
        <v>5500</v>
      </c>
      <c r="BA220" s="4">
        <v>159</v>
      </c>
      <c r="BB220" s="4">
        <v>1</v>
      </c>
      <c r="BC220" s="4" t="s">
        <v>1051</v>
      </c>
      <c r="BD220" s="4" t="s">
        <v>997</v>
      </c>
      <c r="BE220" s="4" t="s">
        <v>91</v>
      </c>
      <c r="BF220" s="4">
        <v>4.5</v>
      </c>
      <c r="BG220" s="4">
        <v>7.4</v>
      </c>
      <c r="BI220" s="4">
        <v>49.3</v>
      </c>
      <c r="BK220" s="4">
        <v>0.9</v>
      </c>
      <c r="BL220" s="4" t="s">
        <v>1053</v>
      </c>
      <c r="BM220" s="4" t="s">
        <v>1052</v>
      </c>
    </row>
    <row r="221" spans="4:65">
      <c r="D221" s="17" t="str">
        <f t="shared" si="70"/>
        <v>ErgänzungsfuttermittelKatzeVitaminpräparat</v>
      </c>
      <c r="E221" s="4" t="s">
        <v>91</v>
      </c>
      <c r="F221" s="19" t="s">
        <v>90</v>
      </c>
      <c r="G221" s="4" t="s">
        <v>124</v>
      </c>
      <c r="L221" s="4" t="s">
        <v>1069</v>
      </c>
      <c r="M221">
        <f t="shared" si="71"/>
        <v>13.5</v>
      </c>
      <c r="N221">
        <f t="shared" si="72"/>
        <v>55.7</v>
      </c>
      <c r="P221">
        <f t="shared" si="73"/>
        <v>3.5</v>
      </c>
      <c r="R221">
        <f t="shared" si="74"/>
        <v>3.9</v>
      </c>
      <c r="U221" s="33" t="str">
        <f t="shared" si="68"/>
        <v/>
      </c>
      <c r="AF221" s="4">
        <f t="shared" si="75"/>
        <v>0</v>
      </c>
      <c r="AL221" s="4">
        <f t="shared" si="69"/>
        <v>0</v>
      </c>
      <c r="AO221" s="4">
        <v>26.5</v>
      </c>
      <c r="AQ221" s="4">
        <v>11.5</v>
      </c>
      <c r="AR221" s="4">
        <v>50</v>
      </c>
      <c r="AT221" s="4">
        <v>125</v>
      </c>
      <c r="AV221" s="4">
        <v>2.4</v>
      </c>
      <c r="BA221" s="4">
        <v>240.83</v>
      </c>
      <c r="BB221" s="4">
        <v>3</v>
      </c>
      <c r="BC221" s="4" t="s">
        <v>1072</v>
      </c>
      <c r="BD221" s="4" t="s">
        <v>997</v>
      </c>
      <c r="BE221" s="4" t="s">
        <v>91</v>
      </c>
      <c r="BF221" s="4">
        <v>13.5</v>
      </c>
      <c r="BG221" s="4">
        <v>55.7</v>
      </c>
      <c r="BI221" s="4">
        <v>3.5</v>
      </c>
      <c r="BK221" s="4">
        <v>3.9</v>
      </c>
      <c r="BL221" s="4" t="s">
        <v>1071</v>
      </c>
      <c r="BM221" s="4" t="s">
        <v>1070</v>
      </c>
    </row>
    <row r="222" spans="4:65">
      <c r="D222" s="17" t="str">
        <f t="shared" si="70"/>
        <v>ErgänzungsfuttermittelKatzeVitaminpräparat</v>
      </c>
      <c r="E222" s="4" t="s">
        <v>91</v>
      </c>
      <c r="F222" s="19" t="s">
        <v>90</v>
      </c>
      <c r="G222" s="4" t="s">
        <v>124</v>
      </c>
      <c r="L222" s="4" t="s">
        <v>1389</v>
      </c>
      <c r="M222">
        <f t="shared" si="71"/>
        <v>0</v>
      </c>
      <c r="N222">
        <f t="shared" si="72"/>
        <v>0</v>
      </c>
      <c r="P222">
        <f t="shared" si="73"/>
        <v>0</v>
      </c>
      <c r="R222">
        <f t="shared" si="74"/>
        <v>0</v>
      </c>
      <c r="S222" s="4">
        <v>12000</v>
      </c>
      <c r="T222" s="4">
        <v>4000</v>
      </c>
      <c r="U222" s="33">
        <f t="shared" si="68"/>
        <v>3</v>
      </c>
      <c r="V222" s="4">
        <v>1000</v>
      </c>
      <c r="X222" s="4">
        <v>500</v>
      </c>
      <c r="AF222" s="4">
        <f t="shared" si="75"/>
        <v>60000</v>
      </c>
      <c r="AG222" s="4">
        <v>200000</v>
      </c>
      <c r="AK222" s="4">
        <v>20000</v>
      </c>
      <c r="AL222" s="4">
        <f t="shared" si="69"/>
        <v>500</v>
      </c>
      <c r="AN222" s="4">
        <v>33.56</v>
      </c>
      <c r="AO222" s="4">
        <v>10</v>
      </c>
      <c r="AP222" s="4">
        <v>12</v>
      </c>
      <c r="AQ222" s="4">
        <v>1</v>
      </c>
      <c r="AR222" s="4">
        <v>100</v>
      </c>
      <c r="AW222" s="4">
        <v>125</v>
      </c>
      <c r="AX222" s="4">
        <v>3</v>
      </c>
      <c r="AY222" s="4">
        <v>500</v>
      </c>
      <c r="BB222" s="4">
        <v>2</v>
      </c>
      <c r="BC222" s="4" t="s">
        <v>1389</v>
      </c>
      <c r="BD222" s="4" t="s">
        <v>1388</v>
      </c>
      <c r="BE222" s="4" t="s">
        <v>91</v>
      </c>
      <c r="BL222" s="4" t="s">
        <v>1391</v>
      </c>
      <c r="BM222" s="4" t="s">
        <v>1390</v>
      </c>
    </row>
    <row r="223" spans="4:65">
      <c r="D223" s="17" t="str">
        <f t="shared" si="70"/>
        <v>ErgänzungsfuttermittelKatzeVitaminpräparat</v>
      </c>
      <c r="E223" s="4" t="s">
        <v>91</v>
      </c>
      <c r="F223" s="19" t="s">
        <v>90</v>
      </c>
      <c r="G223" s="4" t="s">
        <v>124</v>
      </c>
      <c r="L223" s="4" t="s">
        <v>1385</v>
      </c>
      <c r="M223">
        <f t="shared" si="71"/>
        <v>22</v>
      </c>
      <c r="N223">
        <f t="shared" si="72"/>
        <v>18</v>
      </c>
      <c r="P223">
        <f t="shared" si="73"/>
        <v>12</v>
      </c>
      <c r="R223">
        <f t="shared" si="74"/>
        <v>5</v>
      </c>
      <c r="U223" s="33" t="str">
        <f t="shared" si="68"/>
        <v/>
      </c>
      <c r="AF223" s="4">
        <f t="shared" si="75"/>
        <v>0</v>
      </c>
      <c r="AL223" s="4">
        <f t="shared" si="69"/>
        <v>0</v>
      </c>
      <c r="AO223" s="4">
        <v>66</v>
      </c>
      <c r="AP223" s="4">
        <v>64</v>
      </c>
      <c r="AQ223" s="4">
        <v>3</v>
      </c>
      <c r="AU223" s="4">
        <v>33</v>
      </c>
      <c r="AY223" s="4">
        <v>2100</v>
      </c>
      <c r="BB223" s="4">
        <v>2</v>
      </c>
      <c r="BC223" s="4" t="s">
        <v>1385</v>
      </c>
      <c r="BD223" s="4" t="s">
        <v>1388</v>
      </c>
      <c r="BE223" s="4" t="s">
        <v>91</v>
      </c>
      <c r="BF223" s="4">
        <v>22</v>
      </c>
      <c r="BG223" s="4">
        <v>18</v>
      </c>
      <c r="BI223" s="4">
        <v>12</v>
      </c>
      <c r="BK223" s="4">
        <v>5</v>
      </c>
      <c r="BL223" s="4" t="s">
        <v>1387</v>
      </c>
      <c r="BM223" s="4" t="s">
        <v>1386</v>
      </c>
    </row>
    <row r="224" spans="4:65">
      <c r="D224" s="17" t="str">
        <f t="shared" si="70"/>
        <v>ErgänzungsfuttermittelKatzeVitaminpräparat</v>
      </c>
      <c r="E224" s="4" t="s">
        <v>91</v>
      </c>
      <c r="F224" s="19" t="s">
        <v>90</v>
      </c>
      <c r="G224" s="4" t="s">
        <v>124</v>
      </c>
      <c r="L224" s="4" t="s">
        <v>1395</v>
      </c>
      <c r="M224">
        <f t="shared" si="71"/>
        <v>19.600000000000001</v>
      </c>
      <c r="N224">
        <f t="shared" si="72"/>
        <v>23</v>
      </c>
      <c r="P224">
        <f t="shared" si="73"/>
        <v>8</v>
      </c>
      <c r="R224">
        <f t="shared" si="74"/>
        <v>1.95</v>
      </c>
      <c r="U224" s="33" t="str">
        <f t="shared" si="68"/>
        <v/>
      </c>
      <c r="AF224" s="4">
        <f t="shared" si="75"/>
        <v>0</v>
      </c>
      <c r="AL224" s="4">
        <f t="shared" si="69"/>
        <v>0</v>
      </c>
      <c r="AW224" s="4">
        <v>125</v>
      </c>
      <c r="BB224" s="4">
        <v>1.25</v>
      </c>
      <c r="BC224" s="4" t="s">
        <v>1395</v>
      </c>
      <c r="BD224" s="4" t="s">
        <v>1388</v>
      </c>
      <c r="BE224" s="4" t="s">
        <v>91</v>
      </c>
      <c r="BF224" s="4">
        <v>19.600000000000001</v>
      </c>
      <c r="BG224" s="4">
        <v>23</v>
      </c>
      <c r="BI224" s="4">
        <v>8</v>
      </c>
      <c r="BK224" s="4">
        <v>1.95</v>
      </c>
      <c r="BL224" s="4" t="s">
        <v>1397</v>
      </c>
      <c r="BM224" s="4" t="s">
        <v>1396</v>
      </c>
    </row>
    <row r="225" spans="4:65">
      <c r="D225" s="17" t="str">
        <f t="shared" si="70"/>
        <v>ErgänzungsfuttermittelKatzeVitaminpräparat</v>
      </c>
      <c r="E225" s="4" t="s">
        <v>91</v>
      </c>
      <c r="F225" s="19" t="s">
        <v>90</v>
      </c>
      <c r="G225" s="4" t="s">
        <v>124</v>
      </c>
      <c r="L225" s="4" t="s">
        <v>1400</v>
      </c>
      <c r="M225">
        <f t="shared" si="71"/>
        <v>20</v>
      </c>
      <c r="N225">
        <f t="shared" si="72"/>
        <v>3</v>
      </c>
      <c r="P225">
        <f t="shared" si="73"/>
        <v>0.1</v>
      </c>
      <c r="R225">
        <f t="shared" si="74"/>
        <v>5</v>
      </c>
      <c r="S225" s="4">
        <v>12000</v>
      </c>
      <c r="T225" s="4">
        <v>1</v>
      </c>
      <c r="U225" s="33">
        <f t="shared" si="68"/>
        <v>12000</v>
      </c>
      <c r="V225" s="4">
        <v>1500</v>
      </c>
      <c r="AF225" s="4">
        <f t="shared" si="75"/>
        <v>0</v>
      </c>
      <c r="AL225" s="4">
        <f t="shared" si="69"/>
        <v>0</v>
      </c>
      <c r="AO225" s="4">
        <v>100</v>
      </c>
      <c r="AP225" s="4">
        <v>100</v>
      </c>
      <c r="AQ225" s="4">
        <v>50</v>
      </c>
      <c r="AR225" s="4">
        <v>10</v>
      </c>
      <c r="AU225" s="4">
        <v>100</v>
      </c>
      <c r="AW225" s="4">
        <v>1000</v>
      </c>
      <c r="BB225" s="4">
        <v>2</v>
      </c>
      <c r="BC225" s="4" t="s">
        <v>1400</v>
      </c>
      <c r="BD225" s="4" t="s">
        <v>1388</v>
      </c>
      <c r="BE225" s="4" t="s">
        <v>91</v>
      </c>
      <c r="BF225" s="4">
        <v>20</v>
      </c>
      <c r="BG225" s="4">
        <v>3</v>
      </c>
      <c r="BI225" s="4">
        <v>0.1</v>
      </c>
      <c r="BK225" s="4">
        <v>5</v>
      </c>
      <c r="BL225" s="4" t="s">
        <v>1402</v>
      </c>
      <c r="BM225" s="4" t="s">
        <v>1401</v>
      </c>
    </row>
    <row r="226" spans="4:65">
      <c r="D226" s="17" t="str">
        <f t="shared" si="70"/>
        <v>ErgänzungsfuttermittelKatzeVitaminpräparat</v>
      </c>
      <c r="E226" s="4" t="s">
        <v>91</v>
      </c>
      <c r="F226" s="19" t="s">
        <v>90</v>
      </c>
      <c r="G226" s="4" t="s">
        <v>124</v>
      </c>
      <c r="L226" s="4" t="s">
        <v>1403</v>
      </c>
      <c r="M226">
        <f t="shared" si="71"/>
        <v>0</v>
      </c>
      <c r="N226">
        <f t="shared" si="72"/>
        <v>0</v>
      </c>
      <c r="P226">
        <f t="shared" si="73"/>
        <v>0</v>
      </c>
      <c r="R226">
        <f t="shared" si="74"/>
        <v>0</v>
      </c>
      <c r="S226" s="4">
        <v>50</v>
      </c>
      <c r="T226" s="4">
        <v>6000</v>
      </c>
      <c r="U226" s="33">
        <f t="shared" si="68"/>
        <v>8.3333333333333332E-3</v>
      </c>
      <c r="V226" s="4">
        <v>1000</v>
      </c>
      <c r="X226" s="4">
        <v>7000</v>
      </c>
      <c r="AF226" s="4">
        <f t="shared" si="75"/>
        <v>75000</v>
      </c>
      <c r="AG226" s="4">
        <v>250000</v>
      </c>
      <c r="AK226" s="4">
        <v>20000</v>
      </c>
      <c r="AL226" s="4">
        <f t="shared" si="69"/>
        <v>500</v>
      </c>
      <c r="AN226" s="4">
        <v>33.56</v>
      </c>
      <c r="AO226" s="4">
        <v>10</v>
      </c>
      <c r="AP226" s="4">
        <v>12</v>
      </c>
      <c r="AQ226" s="4">
        <v>1</v>
      </c>
      <c r="AR226" s="4">
        <v>100</v>
      </c>
      <c r="AU226" s="4">
        <v>40</v>
      </c>
      <c r="AW226" s="4">
        <v>175</v>
      </c>
      <c r="AX226" s="4">
        <v>3</v>
      </c>
      <c r="AY226" s="4">
        <v>500</v>
      </c>
      <c r="BB226" s="4">
        <v>2</v>
      </c>
      <c r="BC226" s="4" t="s">
        <v>1403</v>
      </c>
      <c r="BD226" s="4" t="s">
        <v>1388</v>
      </c>
      <c r="BE226" s="4" t="s">
        <v>91</v>
      </c>
      <c r="BL226" s="4" t="s">
        <v>1405</v>
      </c>
      <c r="BM226" s="4" t="s">
        <v>1404</v>
      </c>
    </row>
    <row r="227" spans="4:65">
      <c r="D227" s="17" t="str">
        <f t="shared" si="70"/>
        <v>ErgänzungsfuttermittelKatzeVitaminpräparat</v>
      </c>
      <c r="E227" s="4" t="s">
        <v>91</v>
      </c>
      <c r="F227" s="19" t="s">
        <v>90</v>
      </c>
      <c r="G227" s="4" t="s">
        <v>124</v>
      </c>
      <c r="L227" s="4" t="s">
        <v>1837</v>
      </c>
      <c r="M227">
        <f t="shared" si="71"/>
        <v>7.5</v>
      </c>
      <c r="N227">
        <f t="shared" si="72"/>
        <v>19</v>
      </c>
      <c r="P227">
        <f t="shared" si="73"/>
        <v>5.0999999999999996</v>
      </c>
      <c r="R227">
        <f t="shared" si="74"/>
        <v>9.1999999999999993</v>
      </c>
      <c r="U227" s="33" t="str">
        <f t="shared" si="68"/>
        <v/>
      </c>
      <c r="AF227" s="4">
        <f t="shared" si="75"/>
        <v>0</v>
      </c>
      <c r="AL227" s="4">
        <f t="shared" si="69"/>
        <v>0</v>
      </c>
      <c r="AS227" s="4">
        <v>50000</v>
      </c>
      <c r="BA227" s="4">
        <v>99.5</v>
      </c>
      <c r="BB227" s="4">
        <v>3</v>
      </c>
      <c r="BC227" s="4" t="s">
        <v>1837</v>
      </c>
      <c r="BD227" s="4" t="s">
        <v>1826</v>
      </c>
      <c r="BE227" s="4" t="s">
        <v>91</v>
      </c>
      <c r="BF227" s="4">
        <v>7.5</v>
      </c>
      <c r="BG227" s="4">
        <v>19</v>
      </c>
      <c r="BI227" s="4">
        <v>5.0999999999999996</v>
      </c>
      <c r="BK227" s="4">
        <v>9.1999999999999993</v>
      </c>
      <c r="BL227" s="4" t="s">
        <v>1839</v>
      </c>
      <c r="BM227" s="4" t="s">
        <v>1838</v>
      </c>
    </row>
    <row r="228" spans="4:65">
      <c r="D228" s="17" t="str">
        <f t="shared" si="70"/>
        <v>ErgänzungsfuttermittelKatzeVitaminpräparat</v>
      </c>
      <c r="E228" s="4" t="s">
        <v>91</v>
      </c>
      <c r="F228" s="19" t="s">
        <v>90</v>
      </c>
      <c r="G228" s="4" t="s">
        <v>124</v>
      </c>
      <c r="L228" s="4" t="s">
        <v>2728</v>
      </c>
      <c r="M228">
        <f t="shared" si="71"/>
        <v>11.3</v>
      </c>
      <c r="N228">
        <f t="shared" si="72"/>
        <v>38.5</v>
      </c>
      <c r="P228">
        <f t="shared" si="73"/>
        <v>12.5</v>
      </c>
      <c r="R228">
        <f t="shared" si="74"/>
        <v>1.5</v>
      </c>
      <c r="U228" s="33" t="str">
        <f t="shared" si="68"/>
        <v/>
      </c>
      <c r="AF228" s="4">
        <f t="shared" si="75"/>
        <v>0</v>
      </c>
      <c r="AL228" s="4">
        <f t="shared" si="69"/>
        <v>0</v>
      </c>
      <c r="AN228" s="4">
        <v>1000</v>
      </c>
      <c r="AW228" s="4">
        <v>1000</v>
      </c>
      <c r="BA228" s="4">
        <v>199.06</v>
      </c>
      <c r="BB228" s="4">
        <v>1.28</v>
      </c>
      <c r="BC228" s="4" t="s">
        <v>2725</v>
      </c>
      <c r="BD228" s="4" t="s">
        <v>2701</v>
      </c>
      <c r="BE228" s="4" t="s">
        <v>91</v>
      </c>
      <c r="BF228" s="4">
        <v>11.3</v>
      </c>
      <c r="BG228" s="4">
        <v>38.5</v>
      </c>
      <c r="BI228" s="4">
        <v>12.5</v>
      </c>
      <c r="BK228" s="4">
        <v>1.5</v>
      </c>
      <c r="BL228" s="4" t="s">
        <v>2727</v>
      </c>
      <c r="BM228" s="4" t="s">
        <v>2726</v>
      </c>
    </row>
    <row r="229" spans="4:65">
      <c r="D229" s="17" t="str">
        <f t="shared" si="70"/>
        <v>ErgänzungsfuttermittelKatzeVitaminpräparat</v>
      </c>
      <c r="E229" s="4" t="s">
        <v>91</v>
      </c>
      <c r="F229" s="19" t="s">
        <v>90</v>
      </c>
      <c r="G229" s="4" t="s">
        <v>124</v>
      </c>
      <c r="L229" s="4" t="s">
        <v>2758</v>
      </c>
      <c r="M229">
        <f t="shared" si="71"/>
        <v>22.9</v>
      </c>
      <c r="N229">
        <f t="shared" si="72"/>
        <v>28.6</v>
      </c>
      <c r="P229">
        <f t="shared" si="73"/>
        <v>2</v>
      </c>
      <c r="R229">
        <f t="shared" si="74"/>
        <v>3.7</v>
      </c>
      <c r="U229" s="33" t="str">
        <f t="shared" si="68"/>
        <v/>
      </c>
      <c r="AF229" s="4">
        <f t="shared" si="75"/>
        <v>0</v>
      </c>
      <c r="AK229" s="4">
        <v>1000</v>
      </c>
      <c r="AL229" s="4">
        <f t="shared" si="69"/>
        <v>25</v>
      </c>
      <c r="AN229" s="4">
        <v>250</v>
      </c>
      <c r="AO229" s="4">
        <v>980</v>
      </c>
      <c r="AP229" s="4">
        <v>320</v>
      </c>
      <c r="AQ229" s="4">
        <v>84</v>
      </c>
      <c r="AR229" s="4">
        <v>5200</v>
      </c>
      <c r="AT229" s="4">
        <v>10</v>
      </c>
      <c r="AU229" s="4">
        <v>2.5</v>
      </c>
      <c r="AV229" s="4">
        <v>600</v>
      </c>
      <c r="AW229" s="4">
        <v>500</v>
      </c>
      <c r="AZ229" s="4">
        <v>1000</v>
      </c>
      <c r="BA229" s="4">
        <v>166.67</v>
      </c>
      <c r="BB229" s="4">
        <v>1</v>
      </c>
      <c r="BC229" s="4" t="s">
        <v>2758</v>
      </c>
      <c r="BD229" s="4" t="s">
        <v>2751</v>
      </c>
      <c r="BE229" s="4" t="s">
        <v>91</v>
      </c>
      <c r="BF229" s="4">
        <v>22.9</v>
      </c>
      <c r="BG229" s="4">
        <v>28.6</v>
      </c>
      <c r="BI229" s="4">
        <v>2</v>
      </c>
      <c r="BK229" s="4">
        <v>3.7</v>
      </c>
      <c r="BL229" s="4" t="s">
        <v>2760</v>
      </c>
      <c r="BM229" s="4" t="s">
        <v>2759</v>
      </c>
    </row>
    <row r="230" spans="4:65">
      <c r="D230" s="17" t="str">
        <f t="shared" si="70"/>
        <v>ErgänzungsfuttermittelKatzeVitaminpräparat</v>
      </c>
      <c r="E230" s="4" t="s">
        <v>91</v>
      </c>
      <c r="F230" s="19" t="s">
        <v>90</v>
      </c>
      <c r="G230" s="4" t="s">
        <v>124</v>
      </c>
      <c r="L230" s="4" t="s">
        <v>2761</v>
      </c>
      <c r="M230">
        <f t="shared" si="71"/>
        <v>17</v>
      </c>
      <c r="N230">
        <f t="shared" si="72"/>
        <v>22.2</v>
      </c>
      <c r="P230">
        <f t="shared" si="73"/>
        <v>2.1</v>
      </c>
      <c r="R230">
        <f t="shared" si="74"/>
        <v>21.2</v>
      </c>
      <c r="U230" s="33" t="str">
        <f t="shared" si="68"/>
        <v/>
      </c>
      <c r="V230" s="4">
        <v>4190</v>
      </c>
      <c r="AF230" s="4">
        <f t="shared" si="75"/>
        <v>0</v>
      </c>
      <c r="AK230" s="4">
        <v>1000</v>
      </c>
      <c r="AL230" s="4">
        <f t="shared" si="69"/>
        <v>25</v>
      </c>
      <c r="AN230" s="4">
        <v>250</v>
      </c>
      <c r="AO230" s="4">
        <v>980</v>
      </c>
      <c r="AP230" s="4">
        <v>320</v>
      </c>
      <c r="AQ230" s="4">
        <v>84</v>
      </c>
      <c r="AR230" s="4">
        <v>5200</v>
      </c>
      <c r="AT230" s="4">
        <v>10</v>
      </c>
      <c r="AU230" s="4">
        <v>2.5</v>
      </c>
      <c r="AV230" s="4">
        <v>600</v>
      </c>
      <c r="AW230" s="4">
        <v>500</v>
      </c>
      <c r="AZ230" s="4">
        <v>1000</v>
      </c>
      <c r="BA230" s="4">
        <v>230</v>
      </c>
      <c r="BB230" s="4">
        <v>0.6</v>
      </c>
      <c r="BC230" s="4" t="s">
        <v>2761</v>
      </c>
      <c r="BD230" s="4" t="s">
        <v>2751</v>
      </c>
      <c r="BE230" s="4" t="s">
        <v>91</v>
      </c>
      <c r="BF230" s="4">
        <v>17</v>
      </c>
      <c r="BG230" s="4">
        <v>22.2</v>
      </c>
      <c r="BI230" s="4">
        <v>2.1</v>
      </c>
      <c r="BK230" s="4">
        <v>21.2</v>
      </c>
      <c r="BL230" s="4" t="s">
        <v>2763</v>
      </c>
      <c r="BM230" s="4" t="s">
        <v>2762</v>
      </c>
    </row>
    <row r="231" spans="4:65">
      <c r="D231" s="17" t="str">
        <f t="shared" si="70"/>
        <v>ErgänzungsfuttermittelKatzeVitaminpräparat</v>
      </c>
      <c r="E231" s="4" t="s">
        <v>91</v>
      </c>
      <c r="F231" s="19" t="s">
        <v>90</v>
      </c>
      <c r="G231" s="4" t="s">
        <v>124</v>
      </c>
      <c r="L231" s="4" t="s">
        <v>1297</v>
      </c>
      <c r="M231">
        <f t="shared" si="71"/>
        <v>26.8</v>
      </c>
      <c r="N231">
        <f t="shared" si="72"/>
        <v>12.4</v>
      </c>
      <c r="P231">
        <f t="shared" si="73"/>
        <v>6.9</v>
      </c>
      <c r="Q231"/>
      <c r="R231">
        <f t="shared" si="74"/>
        <v>8</v>
      </c>
      <c r="U231" s="33" t="str">
        <f t="shared" si="68"/>
        <v/>
      </c>
      <c r="AF231" s="4">
        <f t="shared" si="75"/>
        <v>0</v>
      </c>
      <c r="AL231" s="4">
        <f t="shared" si="69"/>
        <v>0</v>
      </c>
      <c r="AO231" s="4">
        <v>1800</v>
      </c>
      <c r="AP231" s="4">
        <v>1300</v>
      </c>
      <c r="AQ231" s="4">
        <v>900</v>
      </c>
      <c r="AR231" s="4">
        <v>6900</v>
      </c>
      <c r="AS231" s="4">
        <v>23000</v>
      </c>
      <c r="AT231" s="4">
        <v>11000</v>
      </c>
      <c r="AU231" s="4">
        <v>2000</v>
      </c>
      <c r="AV231" s="4">
        <v>250000</v>
      </c>
      <c r="BA231" s="4">
        <v>255.64</v>
      </c>
      <c r="BC231" s="4" t="s">
        <v>1297</v>
      </c>
      <c r="BD231" s="4" t="s">
        <v>1285</v>
      </c>
      <c r="BE231" s="4" t="s">
        <v>91</v>
      </c>
      <c r="BF231" s="4">
        <v>26.8</v>
      </c>
      <c r="BG231" s="4">
        <v>12.4</v>
      </c>
      <c r="BI231" s="4">
        <v>6.9</v>
      </c>
      <c r="BK231" s="4">
        <v>8</v>
      </c>
      <c r="BL231" s="4" t="s">
        <v>1299</v>
      </c>
      <c r="BM231" s="4" t="s">
        <v>1298</v>
      </c>
    </row>
    <row r="232" spans="4:65">
      <c r="D232" s="17" t="str">
        <f t="shared" si="70"/>
        <v>ErgänzungsfuttermittelKatzeVitaminpräparat</v>
      </c>
      <c r="E232" s="4" t="s">
        <v>91</v>
      </c>
      <c r="F232" s="19" t="s">
        <v>90</v>
      </c>
      <c r="G232" s="4" t="s">
        <v>124</v>
      </c>
      <c r="L232" s="4" t="s">
        <v>1300</v>
      </c>
      <c r="M232">
        <f t="shared" si="71"/>
        <v>2</v>
      </c>
      <c r="N232">
        <f t="shared" si="72"/>
        <v>45.8</v>
      </c>
      <c r="P232">
        <f t="shared" si="73"/>
        <v>1</v>
      </c>
      <c r="R232">
        <f t="shared" si="74"/>
        <v>11.8</v>
      </c>
      <c r="U232" s="33" t="str">
        <f t="shared" si="68"/>
        <v/>
      </c>
      <c r="AF232" s="4">
        <f t="shared" si="75"/>
        <v>0</v>
      </c>
      <c r="AL232" s="4">
        <f t="shared" si="69"/>
        <v>0</v>
      </c>
      <c r="AR232" s="4">
        <v>125000</v>
      </c>
      <c r="BB232" s="4">
        <v>0.15</v>
      </c>
      <c r="BC232" s="4" t="s">
        <v>1300</v>
      </c>
      <c r="BD232" s="4" t="s">
        <v>1285</v>
      </c>
      <c r="BE232" s="4" t="s">
        <v>91</v>
      </c>
      <c r="BF232" s="4">
        <v>2</v>
      </c>
      <c r="BG232" s="4">
        <v>45.8</v>
      </c>
      <c r="BI232" s="4">
        <v>1</v>
      </c>
      <c r="BK232" s="4">
        <v>11.8</v>
      </c>
      <c r="BL232" s="4" t="s">
        <v>1302</v>
      </c>
      <c r="BM232" s="4" t="s">
        <v>1301</v>
      </c>
    </row>
    <row r="233" spans="4:65">
      <c r="D233" s="17" t="str">
        <f t="shared" si="70"/>
        <v>ErgänzungsfuttermittelKatzeVitaminpräparat</v>
      </c>
      <c r="E233" s="4" t="s">
        <v>91</v>
      </c>
      <c r="F233" s="19" t="s">
        <v>90</v>
      </c>
      <c r="G233" s="4" t="s">
        <v>124</v>
      </c>
      <c r="L233" s="4" t="s">
        <v>1303</v>
      </c>
      <c r="M233">
        <f t="shared" si="71"/>
        <v>10.7</v>
      </c>
      <c r="N233">
        <f t="shared" si="72"/>
        <v>27.5</v>
      </c>
      <c r="P233">
        <f t="shared" si="73"/>
        <v>11.8</v>
      </c>
      <c r="R233">
        <f t="shared" si="74"/>
        <v>0.8</v>
      </c>
      <c r="U233" s="33" t="str">
        <f t="shared" si="68"/>
        <v/>
      </c>
      <c r="AF233" s="4">
        <f t="shared" si="75"/>
        <v>0</v>
      </c>
      <c r="AL233" s="4">
        <f t="shared" si="69"/>
        <v>0</v>
      </c>
      <c r="AO233" s="4">
        <v>2000</v>
      </c>
      <c r="AZ233" s="4">
        <v>20000</v>
      </c>
      <c r="BB233" s="4">
        <v>2.5</v>
      </c>
      <c r="BC233" s="4" t="s">
        <v>1303</v>
      </c>
      <c r="BD233" s="4" t="s">
        <v>1285</v>
      </c>
      <c r="BE233" s="4" t="s">
        <v>91</v>
      </c>
      <c r="BF233" s="4">
        <v>10.7</v>
      </c>
      <c r="BG233" s="4">
        <v>27.5</v>
      </c>
      <c r="BI233" s="4">
        <v>11.8</v>
      </c>
      <c r="BK233" s="4">
        <v>0.8</v>
      </c>
      <c r="BL233" s="4" t="s">
        <v>1305</v>
      </c>
      <c r="BM233" s="4" t="s">
        <v>1304</v>
      </c>
    </row>
    <row r="234" spans="4:65">
      <c r="D234" s="17" t="str">
        <f t="shared" ref="D234:D265" si="76">E234&amp;""&amp;F234&amp;""&amp;G234&amp;""&amp;H234</f>
        <v>ErgänzungsfuttermittelKatzeVitaminpräparat</v>
      </c>
      <c r="E234" s="4" t="s">
        <v>91</v>
      </c>
      <c r="F234" s="19" t="s">
        <v>90</v>
      </c>
      <c r="G234" s="4" t="s">
        <v>124</v>
      </c>
      <c r="L234" s="4" t="s">
        <v>1797</v>
      </c>
      <c r="M234">
        <f t="shared" ref="M234:M265" si="77">BF234</f>
        <v>0.27</v>
      </c>
      <c r="N234">
        <f t="shared" ref="N234:N265" si="78">BG234</f>
        <v>0.1</v>
      </c>
      <c r="P234">
        <f t="shared" ref="P234:P251" si="79">BI234</f>
        <v>0.1</v>
      </c>
      <c r="R234">
        <f t="shared" ref="R234:R265" si="80">BK234</f>
        <v>1</v>
      </c>
      <c r="U234" s="33" t="str">
        <f t="shared" si="68"/>
        <v/>
      </c>
      <c r="AF234" s="4">
        <f t="shared" si="75"/>
        <v>30000</v>
      </c>
      <c r="AG234" s="4">
        <v>100000</v>
      </c>
      <c r="AK234" s="4">
        <v>400</v>
      </c>
      <c r="AL234" s="4">
        <f t="shared" si="69"/>
        <v>10</v>
      </c>
      <c r="AN234" s="4">
        <v>100</v>
      </c>
      <c r="AO234" s="4">
        <v>18</v>
      </c>
      <c r="AP234" s="4">
        <v>6</v>
      </c>
      <c r="AQ234" s="4">
        <v>18</v>
      </c>
      <c r="AR234" s="4">
        <v>180</v>
      </c>
      <c r="AT234" s="4">
        <v>36</v>
      </c>
      <c r="AU234" s="4">
        <v>19.600000000000001</v>
      </c>
      <c r="AW234" s="4">
        <v>200</v>
      </c>
      <c r="BA234" s="4">
        <v>48.72</v>
      </c>
      <c r="BC234" s="4" t="s">
        <v>1798</v>
      </c>
      <c r="BD234" s="4" t="s">
        <v>1769</v>
      </c>
      <c r="BE234" s="4" t="s">
        <v>91</v>
      </c>
      <c r="BF234" s="4">
        <v>0.27</v>
      </c>
      <c r="BG234" s="4">
        <v>0.1</v>
      </c>
      <c r="BI234" s="4">
        <v>0.1</v>
      </c>
      <c r="BK234" s="4">
        <v>1</v>
      </c>
      <c r="BL234" s="4" t="s">
        <v>1800</v>
      </c>
      <c r="BM234" s="4" t="s">
        <v>1799</v>
      </c>
    </row>
    <row r="235" spans="4:65">
      <c r="D235" s="17" t="str">
        <f t="shared" si="76"/>
        <v>ErgänzungsfuttermittelKatzeVitaminpräparat</v>
      </c>
      <c r="E235" s="4" t="s">
        <v>91</v>
      </c>
      <c r="F235" s="19" t="s">
        <v>90</v>
      </c>
      <c r="G235" s="4" t="s">
        <v>124</v>
      </c>
      <c r="L235" s="4" t="s">
        <v>223</v>
      </c>
      <c r="M235">
        <f t="shared" si="77"/>
        <v>8.6999999999999993</v>
      </c>
      <c r="N235">
        <f t="shared" si="78"/>
        <v>14.3</v>
      </c>
      <c r="P235">
        <f t="shared" si="79"/>
        <v>1.5</v>
      </c>
      <c r="Q235"/>
      <c r="R235">
        <f t="shared" si="80"/>
        <v>0.5</v>
      </c>
      <c r="U235" s="33" t="str">
        <f t="shared" si="68"/>
        <v/>
      </c>
      <c r="AF235" s="4">
        <f t="shared" si="75"/>
        <v>0</v>
      </c>
      <c r="AL235" s="4">
        <f t="shared" si="69"/>
        <v>0</v>
      </c>
      <c r="AS235" s="4">
        <v>50</v>
      </c>
      <c r="BA235" s="4">
        <v>128.61000000000001</v>
      </c>
      <c r="BC235" s="4" t="s">
        <v>224</v>
      </c>
      <c r="BD235" s="4" t="s">
        <v>214</v>
      </c>
      <c r="BE235" s="4" t="s">
        <v>91</v>
      </c>
      <c r="BF235" s="4">
        <v>8.6999999999999993</v>
      </c>
      <c r="BG235" s="4">
        <v>14.3</v>
      </c>
      <c r="BI235" s="4">
        <v>1.5</v>
      </c>
      <c r="BK235" s="4">
        <v>0.5</v>
      </c>
      <c r="BL235" s="4" t="s">
        <v>225</v>
      </c>
      <c r="BM235" s="4" t="s">
        <v>226</v>
      </c>
    </row>
    <row r="236" spans="4:65">
      <c r="D236" s="17" t="str">
        <f t="shared" si="76"/>
        <v>ErgänzungsfuttermittelKatzeVitaminpräparat</v>
      </c>
      <c r="E236" s="4" t="s">
        <v>91</v>
      </c>
      <c r="F236" s="19" t="s">
        <v>90</v>
      </c>
      <c r="G236" s="4" t="s">
        <v>124</v>
      </c>
      <c r="L236" s="4" t="s">
        <v>1290</v>
      </c>
      <c r="M236">
        <f t="shared" si="77"/>
        <v>5.4</v>
      </c>
      <c r="N236">
        <f t="shared" si="78"/>
        <v>58.6</v>
      </c>
      <c r="P236">
        <f t="shared" si="79"/>
        <v>10.8</v>
      </c>
      <c r="R236">
        <f t="shared" si="80"/>
        <v>0.6</v>
      </c>
      <c r="U236" s="33" t="str">
        <f t="shared" si="68"/>
        <v/>
      </c>
      <c r="AF236" s="4">
        <f t="shared" si="75"/>
        <v>0</v>
      </c>
      <c r="AL236" s="4">
        <f t="shared" si="69"/>
        <v>0</v>
      </c>
      <c r="AR236" s="4">
        <v>10000</v>
      </c>
      <c r="AS236" s="4">
        <v>1000</v>
      </c>
      <c r="AT236" s="4">
        <v>200</v>
      </c>
      <c r="AV236" s="4">
        <v>4000</v>
      </c>
      <c r="BA236" s="4">
        <v>174</v>
      </c>
      <c r="BB236" s="4">
        <v>4</v>
      </c>
      <c r="BC236" s="4" t="s">
        <v>1290</v>
      </c>
      <c r="BD236" s="4" t="s">
        <v>1285</v>
      </c>
      <c r="BE236" s="4" t="s">
        <v>91</v>
      </c>
      <c r="BF236" s="4">
        <v>5.4</v>
      </c>
      <c r="BG236" s="4">
        <v>58.6</v>
      </c>
      <c r="BI236" s="4">
        <v>10.8</v>
      </c>
      <c r="BK236" s="4">
        <v>0.6</v>
      </c>
      <c r="BL236" s="4" t="s">
        <v>1291</v>
      </c>
      <c r="BM236" s="4" t="s">
        <v>1292</v>
      </c>
    </row>
    <row r="237" spans="4:65">
      <c r="D237" s="17" t="str">
        <f t="shared" si="76"/>
        <v>ErgänzungsfuttermittelKatzeVitaminpräparat</v>
      </c>
      <c r="E237" s="4" t="s">
        <v>91</v>
      </c>
      <c r="F237" s="19" t="s">
        <v>90</v>
      </c>
      <c r="G237" s="4" t="s">
        <v>124</v>
      </c>
      <c r="L237" s="4" t="s">
        <v>1325</v>
      </c>
      <c r="M237">
        <f t="shared" si="77"/>
        <v>8</v>
      </c>
      <c r="N237">
        <f t="shared" si="78"/>
        <v>28.6</v>
      </c>
      <c r="P237">
        <f t="shared" si="79"/>
        <v>0.7</v>
      </c>
      <c r="R237">
        <f t="shared" si="80"/>
        <v>0.4</v>
      </c>
      <c r="U237" s="33" t="str">
        <f t="shared" si="68"/>
        <v/>
      </c>
      <c r="AF237" s="4">
        <f t="shared" si="75"/>
        <v>0</v>
      </c>
      <c r="AL237" s="4">
        <f t="shared" si="69"/>
        <v>0</v>
      </c>
      <c r="AQ237" s="4">
        <v>850</v>
      </c>
      <c r="AR237" s="4">
        <v>1000</v>
      </c>
      <c r="AV237" s="4">
        <v>50000</v>
      </c>
      <c r="BB237" s="4">
        <v>1.2</v>
      </c>
      <c r="BC237" s="4" t="s">
        <v>1325</v>
      </c>
      <c r="BD237" s="4" t="s">
        <v>1285</v>
      </c>
      <c r="BE237" s="4" t="s">
        <v>91</v>
      </c>
      <c r="BF237" s="4">
        <v>8</v>
      </c>
      <c r="BG237" s="4">
        <v>28.6</v>
      </c>
      <c r="BI237" s="4">
        <v>0.7</v>
      </c>
      <c r="BK237" s="4">
        <v>0.4</v>
      </c>
      <c r="BL237" s="4" t="s">
        <v>1327</v>
      </c>
      <c r="BM237" s="4" t="s">
        <v>1326</v>
      </c>
    </row>
    <row r="238" spans="4:65">
      <c r="D238" s="17" t="str">
        <f t="shared" si="76"/>
        <v>ErgänzungsfuttermittelKatzeVitaminpräparat</v>
      </c>
      <c r="E238" s="4" t="s">
        <v>91</v>
      </c>
      <c r="F238" s="19" t="s">
        <v>90</v>
      </c>
      <c r="G238" s="4" t="s">
        <v>124</v>
      </c>
      <c r="L238" s="4" t="s">
        <v>1328</v>
      </c>
      <c r="M238">
        <f t="shared" si="77"/>
        <v>5.5</v>
      </c>
      <c r="N238">
        <f t="shared" si="78"/>
        <v>0.8</v>
      </c>
      <c r="P238">
        <f t="shared" si="79"/>
        <v>86</v>
      </c>
      <c r="R238">
        <f t="shared" si="80"/>
        <v>0.1</v>
      </c>
      <c r="U238" s="33" t="str">
        <f t="shared" si="68"/>
        <v/>
      </c>
      <c r="AF238" s="4">
        <f t="shared" si="75"/>
        <v>0</v>
      </c>
      <c r="AL238" s="4">
        <f t="shared" si="69"/>
        <v>0</v>
      </c>
      <c r="AN238" s="4">
        <v>6000</v>
      </c>
      <c r="BB238" s="4">
        <v>1.5</v>
      </c>
      <c r="BC238" s="4" t="s">
        <v>1328</v>
      </c>
      <c r="BD238" s="4" t="s">
        <v>1285</v>
      </c>
      <c r="BE238" s="4" t="s">
        <v>91</v>
      </c>
      <c r="BF238" s="4">
        <v>5.5</v>
      </c>
      <c r="BG238" s="4">
        <v>0.8</v>
      </c>
      <c r="BI238" s="4">
        <v>86</v>
      </c>
      <c r="BK238" s="4">
        <v>0.1</v>
      </c>
      <c r="BL238" s="4" t="s">
        <v>1330</v>
      </c>
      <c r="BM238" s="4" t="s">
        <v>1329</v>
      </c>
    </row>
    <row r="239" spans="4:65">
      <c r="D239" s="17" t="str">
        <f t="shared" si="76"/>
        <v>ErgänzungsfuttermittelKatzeVitaminpräparat</v>
      </c>
      <c r="E239" s="4" t="s">
        <v>91</v>
      </c>
      <c r="F239" s="19" t="s">
        <v>90</v>
      </c>
      <c r="G239" s="4" t="s">
        <v>124</v>
      </c>
      <c r="L239" s="4" t="s">
        <v>1356</v>
      </c>
      <c r="M239">
        <f t="shared" si="77"/>
        <v>13.6</v>
      </c>
      <c r="N239">
        <f t="shared" si="78"/>
        <v>25.2</v>
      </c>
      <c r="P239">
        <f t="shared" si="79"/>
        <v>1.7</v>
      </c>
      <c r="R239">
        <f t="shared" si="80"/>
        <v>6.8</v>
      </c>
      <c r="U239" s="33" t="str">
        <f t="shared" si="68"/>
        <v/>
      </c>
      <c r="V239" s="4">
        <v>100</v>
      </c>
      <c r="AF239" s="4">
        <f t="shared" si="75"/>
        <v>0</v>
      </c>
      <c r="AL239" s="4">
        <f t="shared" si="69"/>
        <v>0</v>
      </c>
      <c r="AO239" s="4">
        <v>800</v>
      </c>
      <c r="AP239" s="4">
        <v>600</v>
      </c>
      <c r="AQ239" s="4">
        <v>1400</v>
      </c>
      <c r="AR239" s="4">
        <v>3000</v>
      </c>
      <c r="AS239" s="4">
        <v>10000</v>
      </c>
      <c r="AT239" s="4">
        <v>5000</v>
      </c>
      <c r="AU239" s="4">
        <v>900</v>
      </c>
      <c r="AV239" s="4">
        <v>110000</v>
      </c>
      <c r="AY239" s="4">
        <v>600</v>
      </c>
      <c r="BB239" s="4">
        <v>4.0999999999999996</v>
      </c>
      <c r="BC239" s="4" t="s">
        <v>1356</v>
      </c>
      <c r="BD239" s="4" t="s">
        <v>1285</v>
      </c>
      <c r="BE239" s="4" t="s">
        <v>91</v>
      </c>
      <c r="BF239" s="4">
        <v>13.6</v>
      </c>
      <c r="BG239" s="4">
        <v>25.2</v>
      </c>
      <c r="BI239" s="4">
        <v>1.7</v>
      </c>
      <c r="BK239" s="4">
        <v>6.8</v>
      </c>
      <c r="BL239" s="4" t="s">
        <v>1358</v>
      </c>
      <c r="BM239" s="4" t="s">
        <v>1357</v>
      </c>
    </row>
    <row r="240" spans="4:65">
      <c r="D240" s="17" t="str">
        <f t="shared" si="76"/>
        <v>ErgänzungsfuttermittelKatzeVitaminpräparat</v>
      </c>
      <c r="E240" s="4" t="s">
        <v>91</v>
      </c>
      <c r="F240" s="19" t="s">
        <v>90</v>
      </c>
      <c r="G240" s="4" t="s">
        <v>124</v>
      </c>
      <c r="L240" s="4" t="s">
        <v>2715</v>
      </c>
      <c r="M240">
        <f t="shared" si="77"/>
        <v>7.2</v>
      </c>
      <c r="N240">
        <f t="shared" si="78"/>
        <v>22.4</v>
      </c>
      <c r="P240">
        <f t="shared" si="79"/>
        <v>8.9</v>
      </c>
      <c r="R240">
        <f t="shared" si="80"/>
        <v>13.8</v>
      </c>
      <c r="U240" s="33" t="str">
        <f t="shared" si="68"/>
        <v/>
      </c>
      <c r="AF240" s="4">
        <f t="shared" si="75"/>
        <v>0</v>
      </c>
      <c r="AL240" s="4">
        <f t="shared" si="69"/>
        <v>0</v>
      </c>
      <c r="AN240" s="4">
        <v>3150</v>
      </c>
      <c r="AZ240" s="4">
        <v>6250</v>
      </c>
      <c r="BA240" s="4">
        <v>215.24</v>
      </c>
      <c r="BB240" s="4">
        <v>0.875</v>
      </c>
      <c r="BC240" s="4" t="s">
        <v>2715</v>
      </c>
      <c r="BD240" s="4" t="s">
        <v>2701</v>
      </c>
      <c r="BE240" s="4" t="s">
        <v>91</v>
      </c>
      <c r="BF240" s="4">
        <v>7.2</v>
      </c>
      <c r="BG240" s="4">
        <v>22.4</v>
      </c>
      <c r="BI240" s="4">
        <v>8.9</v>
      </c>
      <c r="BK240" s="4">
        <v>13.8</v>
      </c>
      <c r="BL240" s="4" t="s">
        <v>2716</v>
      </c>
      <c r="BM240" s="4" t="s">
        <v>2717</v>
      </c>
    </row>
    <row r="241" spans="4:65" ht="12" customHeight="1">
      <c r="D241" s="17" t="str">
        <f t="shared" si="76"/>
        <v>ErgänzungsfuttermittelKatzeVitaminpräparat</v>
      </c>
      <c r="E241" s="4" t="s">
        <v>91</v>
      </c>
      <c r="F241" s="19" t="s">
        <v>90</v>
      </c>
      <c r="G241" s="4" t="s">
        <v>124</v>
      </c>
      <c r="L241" s="4" t="s">
        <v>2680</v>
      </c>
      <c r="M241">
        <f t="shared" si="77"/>
        <v>0.1</v>
      </c>
      <c r="N241">
        <f t="shared" si="78"/>
        <v>4.4000000000000004</v>
      </c>
      <c r="P241">
        <f t="shared" si="79"/>
        <v>0.1</v>
      </c>
      <c r="R241">
        <f t="shared" si="80"/>
        <v>0.5</v>
      </c>
      <c r="U241" s="33" t="str">
        <f t="shared" si="68"/>
        <v/>
      </c>
      <c r="AF241" s="4">
        <f t="shared" si="75"/>
        <v>0</v>
      </c>
      <c r="AL241" s="4">
        <f t="shared" si="69"/>
        <v>0</v>
      </c>
      <c r="AQ241" s="4">
        <v>10</v>
      </c>
      <c r="AR241" s="4">
        <v>10</v>
      </c>
      <c r="AU241" s="4">
        <v>60</v>
      </c>
      <c r="BA241" s="4">
        <v>499.08</v>
      </c>
      <c r="BB241" s="4">
        <v>1.5</v>
      </c>
      <c r="BC241" s="4" t="s">
        <v>2680</v>
      </c>
      <c r="BD241" s="4" t="s">
        <v>2681</v>
      </c>
      <c r="BE241" s="4" t="s">
        <v>91</v>
      </c>
      <c r="BF241" s="4">
        <v>0.1</v>
      </c>
      <c r="BG241" s="4">
        <v>4.4000000000000004</v>
      </c>
      <c r="BI241" s="4">
        <v>0.1</v>
      </c>
      <c r="BK241" s="4">
        <v>0.5</v>
      </c>
      <c r="BL241" s="4" t="s">
        <v>2683</v>
      </c>
      <c r="BM241" s="4" t="s">
        <v>2682</v>
      </c>
    </row>
    <row r="242" spans="4:65">
      <c r="D242" s="17" t="str">
        <f t="shared" si="76"/>
        <v>ErgänzungsfuttermittelKatzeVitaminpräparat</v>
      </c>
      <c r="E242" s="4" t="s">
        <v>91</v>
      </c>
      <c r="F242" s="19" t="s">
        <v>90</v>
      </c>
      <c r="G242" s="4" t="s">
        <v>124</v>
      </c>
      <c r="L242" s="4" t="s">
        <v>2791</v>
      </c>
      <c r="M242">
        <f t="shared" si="77"/>
        <v>35</v>
      </c>
      <c r="N242">
        <f t="shared" si="78"/>
        <v>9.5</v>
      </c>
      <c r="P242">
        <f t="shared" si="79"/>
        <v>4.5</v>
      </c>
      <c r="R242">
        <f t="shared" si="80"/>
        <v>6.5</v>
      </c>
      <c r="U242" s="33" t="str">
        <f t="shared" si="68"/>
        <v/>
      </c>
      <c r="AF242" s="4">
        <f t="shared" si="75"/>
        <v>0</v>
      </c>
      <c r="AK242" s="4">
        <v>20000</v>
      </c>
      <c r="AL242" s="4">
        <f t="shared" si="69"/>
        <v>500</v>
      </c>
      <c r="BA242" s="4">
        <v>10000</v>
      </c>
      <c r="BB242" s="4">
        <v>0.6</v>
      </c>
      <c r="BC242" s="4" t="s">
        <v>2791</v>
      </c>
      <c r="BD242" s="4" t="s">
        <v>2770</v>
      </c>
      <c r="BE242" s="4" t="s">
        <v>91</v>
      </c>
      <c r="BF242" s="4">
        <v>35</v>
      </c>
      <c r="BG242" s="4">
        <v>9.5</v>
      </c>
      <c r="BI242" s="4">
        <v>4.5</v>
      </c>
      <c r="BK242" s="4">
        <v>6.5</v>
      </c>
      <c r="BL242" s="4" t="s">
        <v>2793</v>
      </c>
      <c r="BM242" s="4" t="s">
        <v>2792</v>
      </c>
    </row>
    <row r="243" spans="4:65">
      <c r="D243" s="17" t="str">
        <f t="shared" si="76"/>
        <v>ErgänzungsfuttermittelKatzeVitaminpräparat</v>
      </c>
      <c r="E243" s="4" t="s">
        <v>91</v>
      </c>
      <c r="F243" s="19" t="s">
        <v>90</v>
      </c>
      <c r="G243" s="4" t="s">
        <v>124</v>
      </c>
      <c r="L243" s="4" t="s">
        <v>2617</v>
      </c>
      <c r="M243">
        <f t="shared" si="77"/>
        <v>1.5</v>
      </c>
      <c r="N243">
        <f t="shared" si="78"/>
        <v>25</v>
      </c>
      <c r="P243">
        <f t="shared" si="79"/>
        <v>50</v>
      </c>
      <c r="R243">
        <f t="shared" si="80"/>
        <v>1</v>
      </c>
      <c r="U243" s="33" t="str">
        <f t="shared" si="68"/>
        <v/>
      </c>
      <c r="AF243" s="4">
        <f t="shared" si="75"/>
        <v>0</v>
      </c>
      <c r="AL243" s="4">
        <f t="shared" si="69"/>
        <v>0</v>
      </c>
      <c r="AS243" s="4">
        <v>75400</v>
      </c>
      <c r="BA243" s="4">
        <v>757.57</v>
      </c>
      <c r="BB243" s="4">
        <v>0.66</v>
      </c>
      <c r="BC243" s="4" t="s">
        <v>2618</v>
      </c>
      <c r="BD243" s="4" t="s">
        <v>2451</v>
      </c>
      <c r="BE243" s="4" t="s">
        <v>91</v>
      </c>
      <c r="BF243" s="4">
        <v>1.5</v>
      </c>
      <c r="BG243" s="4">
        <v>25</v>
      </c>
      <c r="BI243" s="4">
        <v>50</v>
      </c>
      <c r="BK243" s="4">
        <v>1</v>
      </c>
      <c r="BL243" s="4" t="s">
        <v>2620</v>
      </c>
      <c r="BM243" s="4" t="s">
        <v>2619</v>
      </c>
    </row>
    <row r="244" spans="4:65">
      <c r="D244" s="17" t="str">
        <f t="shared" si="76"/>
        <v>ErgänzungsfuttermittelKatzeVitaminpräparat</v>
      </c>
      <c r="E244" s="4" t="s">
        <v>91</v>
      </c>
      <c r="F244" s="19" t="s">
        <v>90</v>
      </c>
      <c r="G244" s="4" t="s">
        <v>124</v>
      </c>
      <c r="L244" s="4" t="s">
        <v>2604</v>
      </c>
      <c r="M244">
        <f t="shared" si="77"/>
        <v>1</v>
      </c>
      <c r="N244">
        <f t="shared" si="78"/>
        <v>3</v>
      </c>
      <c r="P244">
        <f t="shared" si="79"/>
        <v>38.200000000000003</v>
      </c>
      <c r="R244">
        <f t="shared" si="80"/>
        <v>4</v>
      </c>
      <c r="U244" s="33" t="str">
        <f t="shared" si="68"/>
        <v/>
      </c>
      <c r="AF244" s="4">
        <f t="shared" si="75"/>
        <v>1200</v>
      </c>
      <c r="AG244" s="4">
        <v>4000</v>
      </c>
      <c r="AK244" s="4">
        <v>160</v>
      </c>
      <c r="AL244" s="4">
        <f t="shared" si="69"/>
        <v>4</v>
      </c>
      <c r="AN244" s="4">
        <v>20</v>
      </c>
      <c r="AO244" s="4">
        <v>4.8</v>
      </c>
      <c r="AP244" s="4">
        <v>3.2</v>
      </c>
      <c r="AQ244" s="4">
        <v>2.4</v>
      </c>
      <c r="AR244" s="4">
        <v>6.4</v>
      </c>
      <c r="AS244" s="4">
        <v>16</v>
      </c>
      <c r="AT244" s="4">
        <v>9.6</v>
      </c>
      <c r="AU244" s="4">
        <v>6</v>
      </c>
      <c r="AV244" s="4">
        <v>480</v>
      </c>
      <c r="AW244" s="4">
        <v>9.6</v>
      </c>
      <c r="BA244" s="4">
        <v>99.9</v>
      </c>
      <c r="BB244" s="4">
        <v>2</v>
      </c>
      <c r="BC244" s="4" t="s">
        <v>2604</v>
      </c>
      <c r="BD244" s="4" t="s">
        <v>2451</v>
      </c>
      <c r="BE244" s="4" t="s">
        <v>91</v>
      </c>
      <c r="BF244" s="4">
        <v>1</v>
      </c>
      <c r="BG244" s="4">
        <v>3</v>
      </c>
      <c r="BI244" s="4">
        <v>38.200000000000003</v>
      </c>
      <c r="BK244" s="4">
        <v>4</v>
      </c>
      <c r="BL244" s="4" t="s">
        <v>2605</v>
      </c>
      <c r="BM244" s="4" t="s">
        <v>2606</v>
      </c>
    </row>
    <row r="245" spans="4:65">
      <c r="D245" s="17" t="str">
        <f t="shared" si="76"/>
        <v>ErgänzungsfuttermittelKatzeVitaminpräparat</v>
      </c>
      <c r="E245" s="4" t="s">
        <v>91</v>
      </c>
      <c r="F245" s="19" t="s">
        <v>90</v>
      </c>
      <c r="G245" s="4" t="s">
        <v>124</v>
      </c>
      <c r="L245" s="4" t="s">
        <v>2571</v>
      </c>
      <c r="M245">
        <f t="shared" si="77"/>
        <v>0.9</v>
      </c>
      <c r="N245">
        <f t="shared" si="78"/>
        <v>7.3</v>
      </c>
      <c r="P245">
        <f t="shared" si="79"/>
        <v>0.5</v>
      </c>
      <c r="R245">
        <f t="shared" si="80"/>
        <v>0.8</v>
      </c>
      <c r="U245" s="33" t="str">
        <f t="shared" si="68"/>
        <v/>
      </c>
      <c r="AF245" s="4">
        <f t="shared" si="75"/>
        <v>0</v>
      </c>
      <c r="AL245" s="4">
        <f t="shared" si="69"/>
        <v>0</v>
      </c>
      <c r="AN245" s="4">
        <v>9.3800000000000008</v>
      </c>
      <c r="AZ245" s="4">
        <v>37.799999999999997</v>
      </c>
      <c r="BA245" s="4">
        <v>177.9</v>
      </c>
      <c r="BC245" s="4" t="s">
        <v>2571</v>
      </c>
      <c r="BD245" s="4" t="s">
        <v>2565</v>
      </c>
      <c r="BE245" s="4" t="s">
        <v>91</v>
      </c>
      <c r="BF245" s="4">
        <v>0.9</v>
      </c>
      <c r="BG245" s="4">
        <v>7.3</v>
      </c>
      <c r="BI245" s="4">
        <v>0.5</v>
      </c>
      <c r="BK245" s="4">
        <v>0.8</v>
      </c>
      <c r="BL245" s="4" t="s">
        <v>2573</v>
      </c>
      <c r="BM245" s="4" t="s">
        <v>2572</v>
      </c>
    </row>
    <row r="246" spans="4:65">
      <c r="D246" s="17" t="str">
        <f t="shared" si="76"/>
        <v>ErgänzungsfuttermittelKatzeVitaminpräparat</v>
      </c>
      <c r="E246" s="4" t="s">
        <v>91</v>
      </c>
      <c r="F246" s="19" t="s">
        <v>90</v>
      </c>
      <c r="G246" s="4" t="s">
        <v>124</v>
      </c>
      <c r="L246" s="4" t="s">
        <v>2574</v>
      </c>
      <c r="M246">
        <f t="shared" si="77"/>
        <v>0.7</v>
      </c>
      <c r="N246">
        <f t="shared" si="78"/>
        <v>2</v>
      </c>
      <c r="P246">
        <f t="shared" si="79"/>
        <v>40</v>
      </c>
      <c r="R246">
        <f t="shared" si="80"/>
        <v>8.4</v>
      </c>
      <c r="U246" s="33" t="str">
        <f t="shared" si="68"/>
        <v/>
      </c>
      <c r="AF246" s="4">
        <f t="shared" si="75"/>
        <v>0</v>
      </c>
      <c r="AL246" s="4">
        <f t="shared" si="69"/>
        <v>0</v>
      </c>
      <c r="AN246" s="4">
        <v>12.47</v>
      </c>
      <c r="BA246" s="4">
        <v>121.43</v>
      </c>
      <c r="BC246" s="4" t="s">
        <v>2574</v>
      </c>
      <c r="BD246" s="4" t="s">
        <v>2565</v>
      </c>
      <c r="BE246" s="4" t="s">
        <v>91</v>
      </c>
      <c r="BF246" s="4">
        <v>0.7</v>
      </c>
      <c r="BG246" s="4">
        <v>2</v>
      </c>
      <c r="BI246" s="4">
        <v>40</v>
      </c>
      <c r="BK246" s="4">
        <v>8.4</v>
      </c>
      <c r="BL246" s="4" t="s">
        <v>2576</v>
      </c>
      <c r="BM246" s="4" t="s">
        <v>2575</v>
      </c>
    </row>
    <row r="247" spans="4:65">
      <c r="D247" s="17" t="str">
        <f t="shared" si="76"/>
        <v>ErgänzungsfuttermittelKatzeVitaminpräparat</v>
      </c>
      <c r="E247" s="4" t="s">
        <v>91</v>
      </c>
      <c r="F247" s="19" t="s">
        <v>90</v>
      </c>
      <c r="G247" s="4" t="s">
        <v>124</v>
      </c>
      <c r="L247" s="4" t="s">
        <v>2561</v>
      </c>
      <c r="M247">
        <f t="shared" si="77"/>
        <v>0</v>
      </c>
      <c r="N247">
        <f t="shared" si="78"/>
        <v>0</v>
      </c>
      <c r="P247">
        <f t="shared" si="79"/>
        <v>0</v>
      </c>
      <c r="R247">
        <f t="shared" si="80"/>
        <v>0</v>
      </c>
      <c r="U247" s="33" t="str">
        <f t="shared" si="68"/>
        <v/>
      </c>
      <c r="AF247" s="4">
        <f t="shared" ref="AF247:AF270" si="81">AG247*$BO$13</f>
        <v>0</v>
      </c>
      <c r="AL247" s="4">
        <f t="shared" si="69"/>
        <v>0</v>
      </c>
      <c r="AO247" s="4">
        <v>10400</v>
      </c>
      <c r="AQ247" s="4">
        <v>2</v>
      </c>
      <c r="AT247" s="4">
        <v>160</v>
      </c>
      <c r="BA247" s="4">
        <v>849.67</v>
      </c>
      <c r="BB247" s="4">
        <v>0.8</v>
      </c>
      <c r="BC247" s="4" t="s">
        <v>2561</v>
      </c>
      <c r="BD247" s="4" t="s">
        <v>2552</v>
      </c>
      <c r="BE247" s="4" t="s">
        <v>91</v>
      </c>
      <c r="BL247" s="4" t="s">
        <v>2563</v>
      </c>
      <c r="BM247" s="4" t="s">
        <v>2562</v>
      </c>
    </row>
    <row r="248" spans="4:65">
      <c r="D248" s="17" t="str">
        <f t="shared" si="76"/>
        <v>ErgänzungsfuttermittelKatzeVitaminpräparat</v>
      </c>
      <c r="E248" s="4" t="s">
        <v>91</v>
      </c>
      <c r="F248" s="19" t="s">
        <v>90</v>
      </c>
      <c r="G248" s="4" t="s">
        <v>124</v>
      </c>
      <c r="L248" s="4" t="s">
        <v>2564</v>
      </c>
      <c r="M248">
        <f t="shared" si="77"/>
        <v>7.2</v>
      </c>
      <c r="N248">
        <f t="shared" si="78"/>
        <v>35.799999999999997</v>
      </c>
      <c r="P248">
        <f t="shared" si="79"/>
        <v>1.7</v>
      </c>
      <c r="R248">
        <f t="shared" si="80"/>
        <v>33.299999999999997</v>
      </c>
      <c r="U248" s="33" t="str">
        <f t="shared" si="68"/>
        <v/>
      </c>
      <c r="AF248" s="4">
        <f t="shared" si="81"/>
        <v>0</v>
      </c>
      <c r="AL248" s="4">
        <f t="shared" si="69"/>
        <v>0</v>
      </c>
      <c r="AO248" s="4">
        <v>16666.7</v>
      </c>
      <c r="AP248" s="4">
        <v>3333.3</v>
      </c>
      <c r="AQ248" s="4">
        <v>16666.7</v>
      </c>
      <c r="AR248" s="4">
        <v>83300</v>
      </c>
      <c r="AS248" s="4">
        <v>1666700</v>
      </c>
      <c r="AV248" s="4">
        <v>1666700</v>
      </c>
      <c r="BA248" s="4">
        <v>716.38</v>
      </c>
      <c r="BB248" s="4">
        <v>0.24</v>
      </c>
      <c r="BC248" s="4" t="s">
        <v>2564</v>
      </c>
      <c r="BD248" s="4" t="s">
        <v>2565</v>
      </c>
      <c r="BE248" s="4" t="s">
        <v>91</v>
      </c>
      <c r="BF248" s="4">
        <v>7.2</v>
      </c>
      <c r="BG248" s="4">
        <v>35.799999999999997</v>
      </c>
      <c r="BI248" s="4">
        <v>1.7</v>
      </c>
      <c r="BK248" s="4">
        <v>33.299999999999997</v>
      </c>
      <c r="BL248" s="4" t="s">
        <v>2566</v>
      </c>
      <c r="BM248" s="4" t="s">
        <v>2567</v>
      </c>
    </row>
    <row r="249" spans="4:65">
      <c r="D249" s="17" t="str">
        <f t="shared" si="76"/>
        <v>ErgänzungsfuttermittelKatzeVitaminpräparat</v>
      </c>
      <c r="E249" s="4" t="s">
        <v>91</v>
      </c>
      <c r="F249" s="19" t="s">
        <v>90</v>
      </c>
      <c r="G249" s="4" t="s">
        <v>124</v>
      </c>
      <c r="L249" s="4" t="s">
        <v>2595</v>
      </c>
      <c r="M249">
        <f t="shared" si="77"/>
        <v>3</v>
      </c>
      <c r="N249">
        <f t="shared" si="78"/>
        <v>1.5</v>
      </c>
      <c r="P249">
        <f t="shared" si="79"/>
        <v>0.3</v>
      </c>
      <c r="R249">
        <f t="shared" si="80"/>
        <v>0.1</v>
      </c>
      <c r="U249" s="33" t="str">
        <f t="shared" si="68"/>
        <v/>
      </c>
      <c r="AF249" s="4">
        <f t="shared" si="81"/>
        <v>0</v>
      </c>
      <c r="AL249" s="4">
        <f t="shared" si="69"/>
        <v>0</v>
      </c>
      <c r="AR249" s="4">
        <v>238000</v>
      </c>
      <c r="AV249" s="4">
        <v>95200</v>
      </c>
      <c r="BA249" s="4">
        <v>204.68</v>
      </c>
      <c r="BB249" s="4">
        <v>0.105</v>
      </c>
      <c r="BC249" s="4" t="s">
        <v>2595</v>
      </c>
      <c r="BD249" s="4" t="s">
        <v>2451</v>
      </c>
      <c r="BE249" s="4" t="s">
        <v>91</v>
      </c>
      <c r="BF249" s="4">
        <v>3</v>
      </c>
      <c r="BG249" s="4">
        <v>1.5</v>
      </c>
      <c r="BI249" s="4">
        <v>0.3</v>
      </c>
      <c r="BK249" s="4">
        <v>0.1</v>
      </c>
      <c r="BL249" s="4" t="s">
        <v>2597</v>
      </c>
      <c r="BM249" s="4" t="s">
        <v>2596</v>
      </c>
    </row>
    <row r="250" spans="4:65">
      <c r="D250" s="17" t="str">
        <f t="shared" si="76"/>
        <v>ErgänzungsfuttermittelKatzeVitaminpräparat</v>
      </c>
      <c r="E250" s="4" t="s">
        <v>91</v>
      </c>
      <c r="F250" s="19" t="s">
        <v>90</v>
      </c>
      <c r="G250" s="4" t="s">
        <v>124</v>
      </c>
      <c r="L250" s="4" t="s">
        <v>1512</v>
      </c>
      <c r="M250">
        <f t="shared" si="77"/>
        <v>3.7</v>
      </c>
      <c r="N250">
        <f t="shared" si="78"/>
        <v>30.7</v>
      </c>
      <c r="P250">
        <f t="shared" si="79"/>
        <v>0.7</v>
      </c>
      <c r="R250">
        <f t="shared" si="80"/>
        <v>0.5</v>
      </c>
      <c r="U250" s="33" t="str">
        <f t="shared" si="68"/>
        <v/>
      </c>
      <c r="AF250" s="4">
        <f t="shared" si="81"/>
        <v>0</v>
      </c>
      <c r="AL250" s="4">
        <f t="shared" si="69"/>
        <v>0</v>
      </c>
      <c r="BC250" s="4" t="s">
        <v>1514</v>
      </c>
      <c r="BD250" s="4" t="s">
        <v>1513</v>
      </c>
      <c r="BE250" s="4" t="s">
        <v>91</v>
      </c>
      <c r="BF250" s="4">
        <v>3.7</v>
      </c>
      <c r="BG250" s="4">
        <v>30.7</v>
      </c>
      <c r="BI250" s="4">
        <v>0.7</v>
      </c>
      <c r="BK250" s="4">
        <v>0.5</v>
      </c>
      <c r="BL250" s="4" t="s">
        <v>1516</v>
      </c>
      <c r="BM250" s="4" t="s">
        <v>1515</v>
      </c>
    </row>
    <row r="251" spans="4:65">
      <c r="D251" s="17" t="str">
        <f t="shared" si="76"/>
        <v>ErgänzungsfuttermittelKatzeVitaminpräparat</v>
      </c>
      <c r="E251" s="4" t="s">
        <v>91</v>
      </c>
      <c r="F251" s="19" t="s">
        <v>90</v>
      </c>
      <c r="G251" s="4" t="s">
        <v>124</v>
      </c>
      <c r="L251" s="4" t="s">
        <v>1541</v>
      </c>
      <c r="M251">
        <f t="shared" si="77"/>
        <v>6.4</v>
      </c>
      <c r="N251">
        <f t="shared" si="78"/>
        <v>5.4</v>
      </c>
      <c r="P251">
        <f t="shared" si="79"/>
        <v>1.8</v>
      </c>
      <c r="R251">
        <f t="shared" si="80"/>
        <v>2.1</v>
      </c>
      <c r="U251" s="33" t="str">
        <f t="shared" si="68"/>
        <v/>
      </c>
      <c r="AF251" s="4">
        <f t="shared" si="81"/>
        <v>0</v>
      </c>
      <c r="AL251" s="4">
        <f t="shared" si="69"/>
        <v>0</v>
      </c>
      <c r="AN251" s="4">
        <v>625</v>
      </c>
      <c r="AW251" s="4">
        <v>1250</v>
      </c>
      <c r="BC251" s="4" t="s">
        <v>1541</v>
      </c>
      <c r="BD251" s="4" t="s">
        <v>1513</v>
      </c>
      <c r="BE251" s="4" t="s">
        <v>91</v>
      </c>
      <c r="BF251" s="4">
        <v>6.4</v>
      </c>
      <c r="BG251" s="4">
        <v>5.4</v>
      </c>
      <c r="BI251" s="4">
        <v>1.8</v>
      </c>
      <c r="BK251" s="4">
        <v>2.1</v>
      </c>
      <c r="BL251" s="4" t="s">
        <v>1543</v>
      </c>
      <c r="BM251" s="4" t="s">
        <v>1542</v>
      </c>
    </row>
    <row r="252" spans="4:65">
      <c r="D252" s="17" t="str">
        <f t="shared" si="76"/>
        <v>ErgänzungsfuttermittelKatzeVitaminpräparat</v>
      </c>
      <c r="E252" s="4" t="s">
        <v>91</v>
      </c>
      <c r="F252" s="19" t="s">
        <v>90</v>
      </c>
      <c r="G252" s="4" t="s">
        <v>124</v>
      </c>
      <c r="L252" s="4" t="s">
        <v>2555</v>
      </c>
      <c r="M252">
        <f t="shared" si="77"/>
        <v>1.5</v>
      </c>
      <c r="N252">
        <f t="shared" si="78"/>
        <v>16.5</v>
      </c>
      <c r="P252">
        <f t="shared" ref="P252:P253" si="82">BI252</f>
        <v>58</v>
      </c>
      <c r="R252">
        <f t="shared" si="80"/>
        <v>0</v>
      </c>
      <c r="U252" s="33" t="str">
        <f t="shared" si="68"/>
        <v/>
      </c>
      <c r="AF252" s="4">
        <f t="shared" si="81"/>
        <v>79.919999999999987</v>
      </c>
      <c r="AG252" s="4">
        <v>266.39999999999998</v>
      </c>
      <c r="AL252" s="4">
        <f t="shared" si="69"/>
        <v>0</v>
      </c>
      <c r="AN252" s="4">
        <v>50</v>
      </c>
      <c r="AO252" s="4">
        <v>0.66</v>
      </c>
      <c r="AQ252" s="4">
        <v>1</v>
      </c>
      <c r="AT252" s="4">
        <v>1.67</v>
      </c>
      <c r="AX252" s="4">
        <v>1E-3</v>
      </c>
      <c r="AZ252" s="4">
        <v>83.3</v>
      </c>
      <c r="BA252" s="4">
        <v>191.5</v>
      </c>
      <c r="BB252" s="4">
        <v>30</v>
      </c>
      <c r="BC252" s="4" t="s">
        <v>2555</v>
      </c>
      <c r="BD252" s="4" t="s">
        <v>2552</v>
      </c>
      <c r="BE252" s="4" t="s">
        <v>91</v>
      </c>
      <c r="BF252" s="4">
        <v>1.5</v>
      </c>
      <c r="BG252" s="4">
        <v>16.5</v>
      </c>
      <c r="BI252" s="4">
        <v>58</v>
      </c>
      <c r="BL252" s="4" t="s">
        <v>2557</v>
      </c>
      <c r="BM252" s="4" t="s">
        <v>2556</v>
      </c>
    </row>
    <row r="253" spans="4:65">
      <c r="D253" s="17" t="str">
        <f t="shared" si="76"/>
        <v>ErgänzungsfuttermittelKatzeVitaminpräparat</v>
      </c>
      <c r="E253" s="4" t="s">
        <v>91</v>
      </c>
      <c r="F253" s="19" t="s">
        <v>90</v>
      </c>
      <c r="G253" s="4" t="s">
        <v>124</v>
      </c>
      <c r="L253" s="4" t="s">
        <v>1852</v>
      </c>
      <c r="M253">
        <f t="shared" si="77"/>
        <v>3.7</v>
      </c>
      <c r="N253">
        <f t="shared" si="78"/>
        <v>9.9</v>
      </c>
      <c r="P253">
        <f t="shared" si="82"/>
        <v>2</v>
      </c>
      <c r="R253">
        <f t="shared" si="80"/>
        <v>6.2</v>
      </c>
      <c r="U253" s="33" t="str">
        <f t="shared" si="68"/>
        <v/>
      </c>
      <c r="AF253" s="4">
        <f t="shared" si="81"/>
        <v>0</v>
      </c>
      <c r="AL253" s="4">
        <f t="shared" si="69"/>
        <v>0</v>
      </c>
      <c r="AO253" s="4">
        <v>101</v>
      </c>
      <c r="AP253" s="4">
        <v>147</v>
      </c>
      <c r="AQ253" s="4">
        <v>80</v>
      </c>
      <c r="AR253" s="4">
        <v>230</v>
      </c>
      <c r="AS253" s="4">
        <v>5950</v>
      </c>
      <c r="AT253" s="4">
        <v>1800</v>
      </c>
      <c r="AU253" s="4">
        <v>605</v>
      </c>
      <c r="AV253" s="4">
        <v>20780</v>
      </c>
      <c r="BA253" s="4">
        <v>139.6</v>
      </c>
      <c r="BB253" s="4">
        <v>0.75</v>
      </c>
      <c r="BC253" s="4" t="s">
        <v>1852</v>
      </c>
      <c r="BD253" s="4" t="s">
        <v>1826</v>
      </c>
      <c r="BE253" s="4" t="s">
        <v>91</v>
      </c>
      <c r="BF253" s="4">
        <v>3.7</v>
      </c>
      <c r="BG253" s="4">
        <v>9.9</v>
      </c>
      <c r="BI253" s="4">
        <v>2</v>
      </c>
      <c r="BK253" s="4">
        <v>6.2</v>
      </c>
      <c r="BL253" s="4" t="s">
        <v>1854</v>
      </c>
      <c r="BM253" s="4" t="s">
        <v>1853</v>
      </c>
    </row>
    <row r="254" spans="4:65">
      <c r="D254" s="17" t="str">
        <f t="shared" si="76"/>
        <v>ErgänzungsfuttermittelKatzeVitaminpräparat</v>
      </c>
      <c r="E254" s="4" t="s">
        <v>91</v>
      </c>
      <c r="F254" s="19" t="s">
        <v>90</v>
      </c>
      <c r="G254" s="4" t="s">
        <v>124</v>
      </c>
      <c r="L254" s="4" t="s">
        <v>1855</v>
      </c>
      <c r="M254">
        <f t="shared" si="77"/>
        <v>4.5999999999999996</v>
      </c>
      <c r="N254">
        <f t="shared" si="78"/>
        <v>4.3</v>
      </c>
      <c r="P254">
        <f>BI254</f>
        <v>0.8</v>
      </c>
      <c r="R254">
        <f t="shared" si="80"/>
        <v>45.2</v>
      </c>
      <c r="U254" s="33" t="str">
        <f t="shared" si="68"/>
        <v/>
      </c>
      <c r="AF254" s="4">
        <f t="shared" si="81"/>
        <v>0</v>
      </c>
      <c r="AL254" s="4">
        <f t="shared" si="69"/>
        <v>0</v>
      </c>
      <c r="AR254" s="4">
        <v>25000</v>
      </c>
      <c r="AV254" s="4">
        <v>10000</v>
      </c>
      <c r="BA254" s="4">
        <v>166</v>
      </c>
      <c r="BB254" s="4">
        <v>1</v>
      </c>
      <c r="BC254" s="4" t="s">
        <v>1856</v>
      </c>
      <c r="BD254" s="4" t="s">
        <v>1826</v>
      </c>
      <c r="BE254" s="4" t="s">
        <v>91</v>
      </c>
      <c r="BF254" s="4">
        <v>4.5999999999999996</v>
      </c>
      <c r="BG254" s="4">
        <v>4.3</v>
      </c>
      <c r="BI254" s="4">
        <v>0.8</v>
      </c>
      <c r="BK254" s="4">
        <v>45.2</v>
      </c>
      <c r="BL254" s="4" t="s">
        <v>536</v>
      </c>
      <c r="BM254" s="4" t="s">
        <v>1857</v>
      </c>
    </row>
    <row r="255" spans="4:65">
      <c r="D255" s="17" t="str">
        <f t="shared" si="76"/>
        <v>ErgänzungsfuttermittelKatzeVitaminpräparat</v>
      </c>
      <c r="E255" s="4" t="s">
        <v>91</v>
      </c>
      <c r="F255" s="19" t="s">
        <v>90</v>
      </c>
      <c r="G255" s="4" t="s">
        <v>124</v>
      </c>
      <c r="L255" s="4" t="s">
        <v>1618</v>
      </c>
      <c r="M255">
        <f t="shared" si="77"/>
        <v>5.4</v>
      </c>
      <c r="N255">
        <f t="shared" si="78"/>
        <v>52.7</v>
      </c>
      <c r="P255">
        <f>BI255</f>
        <v>3.4</v>
      </c>
      <c r="R255">
        <f t="shared" si="80"/>
        <v>1.1000000000000001</v>
      </c>
      <c r="U255" s="33" t="str">
        <f t="shared" si="68"/>
        <v/>
      </c>
      <c r="AF255" s="4">
        <f t="shared" si="81"/>
        <v>0</v>
      </c>
      <c r="AL255" s="4">
        <f t="shared" si="69"/>
        <v>0</v>
      </c>
      <c r="AN255" s="4">
        <v>2400</v>
      </c>
      <c r="AZ255" s="4">
        <v>50000</v>
      </c>
      <c r="BA255" s="4">
        <v>71.959999999999994</v>
      </c>
      <c r="BC255" s="4" t="s">
        <v>1618</v>
      </c>
      <c r="BD255" s="4" t="s">
        <v>424</v>
      </c>
      <c r="BE255" s="4" t="s">
        <v>91</v>
      </c>
      <c r="BF255" s="4">
        <v>5.4</v>
      </c>
      <c r="BG255" s="4">
        <v>52.7</v>
      </c>
      <c r="BI255" s="4">
        <v>3.4</v>
      </c>
      <c r="BK255" s="4">
        <v>1.1000000000000001</v>
      </c>
      <c r="BL255" s="4" t="s">
        <v>1620</v>
      </c>
      <c r="BM255" s="4" t="s">
        <v>1619</v>
      </c>
    </row>
    <row r="256" spans="4:65">
      <c r="D256" s="17" t="str">
        <f t="shared" si="76"/>
        <v>ErgänzungsfuttermittelKatzeVitaminpräparat</v>
      </c>
      <c r="E256" s="4" t="s">
        <v>91</v>
      </c>
      <c r="F256" s="19" t="s">
        <v>90</v>
      </c>
      <c r="G256" s="4" t="s">
        <v>124</v>
      </c>
      <c r="L256" s="4" t="s">
        <v>2376</v>
      </c>
      <c r="M256">
        <f t="shared" si="77"/>
        <v>8.6999999999999993</v>
      </c>
      <c r="N256">
        <f t="shared" si="78"/>
        <v>7.3</v>
      </c>
      <c r="P256">
        <f t="shared" ref="P256:P260" si="83">BI256</f>
        <v>1.1000000000000001</v>
      </c>
      <c r="R256">
        <f t="shared" si="80"/>
        <v>24.5</v>
      </c>
      <c r="U256" s="33" t="str">
        <f t="shared" si="68"/>
        <v/>
      </c>
      <c r="AF256" s="4">
        <f t="shared" si="81"/>
        <v>0</v>
      </c>
      <c r="AL256" s="4">
        <f t="shared" si="69"/>
        <v>0</v>
      </c>
      <c r="AO256" s="4">
        <v>350</v>
      </c>
      <c r="AP256" s="4">
        <v>350</v>
      </c>
      <c r="AQ256" s="4">
        <v>300</v>
      </c>
      <c r="AR256" s="4">
        <v>4000</v>
      </c>
      <c r="AS256" s="4">
        <v>12500</v>
      </c>
      <c r="AU256" s="4">
        <v>3000</v>
      </c>
      <c r="AV256" s="4">
        <v>40000</v>
      </c>
      <c r="BA256" s="4">
        <v>178.4</v>
      </c>
      <c r="BB256" s="4">
        <v>0.2</v>
      </c>
      <c r="BC256" s="4" t="s">
        <v>2377</v>
      </c>
      <c r="BD256" s="4" t="s">
        <v>2322</v>
      </c>
      <c r="BE256" s="4" t="s">
        <v>91</v>
      </c>
      <c r="BF256" s="4">
        <v>8.6999999999999993</v>
      </c>
      <c r="BG256" s="4">
        <v>7.3</v>
      </c>
      <c r="BI256" s="4">
        <v>1.1000000000000001</v>
      </c>
      <c r="BK256" s="4">
        <v>24.5</v>
      </c>
      <c r="BL256" s="4" t="s">
        <v>2379</v>
      </c>
      <c r="BM256" s="4" t="s">
        <v>2378</v>
      </c>
    </row>
    <row r="257" spans="4:65">
      <c r="D257" s="17" t="str">
        <f t="shared" si="76"/>
        <v>ErgänzungsfuttermittelKatzeVitaminpräparat</v>
      </c>
      <c r="E257" s="4" t="s">
        <v>91</v>
      </c>
      <c r="F257" s="19" t="s">
        <v>90</v>
      </c>
      <c r="G257" s="4" t="s">
        <v>124</v>
      </c>
      <c r="L257" s="4" t="s">
        <v>2400</v>
      </c>
      <c r="M257">
        <f t="shared" si="77"/>
        <v>15</v>
      </c>
      <c r="N257">
        <f t="shared" si="78"/>
        <v>35.799999999999997</v>
      </c>
      <c r="P257">
        <f t="shared" si="83"/>
        <v>1.6</v>
      </c>
      <c r="R257">
        <f t="shared" si="80"/>
        <v>0.8</v>
      </c>
      <c r="S257" s="4">
        <v>5300</v>
      </c>
      <c r="T257" s="4">
        <v>1</v>
      </c>
      <c r="U257" s="33">
        <f t="shared" si="68"/>
        <v>5300</v>
      </c>
      <c r="AF257" s="4">
        <f t="shared" si="81"/>
        <v>0</v>
      </c>
      <c r="AL257" s="4">
        <f t="shared" si="69"/>
        <v>0</v>
      </c>
      <c r="AO257" s="4">
        <v>28560</v>
      </c>
      <c r="AP257" s="4">
        <v>5700</v>
      </c>
      <c r="AR257" s="4">
        <v>142800</v>
      </c>
      <c r="BC257" s="4" t="s">
        <v>2400</v>
      </c>
      <c r="BD257" s="4" t="s">
        <v>2397</v>
      </c>
      <c r="BE257" s="4" t="s">
        <v>91</v>
      </c>
      <c r="BF257" s="4">
        <v>15</v>
      </c>
      <c r="BG257" s="4">
        <v>35.799999999999997</v>
      </c>
      <c r="BI257" s="4">
        <v>1.6</v>
      </c>
      <c r="BK257" s="4">
        <v>0.8</v>
      </c>
      <c r="BL257" s="4" t="s">
        <v>2402</v>
      </c>
      <c r="BM257" s="4" t="s">
        <v>2401</v>
      </c>
    </row>
    <row r="258" spans="4:65">
      <c r="D258" s="17" t="str">
        <f t="shared" si="76"/>
        <v>ErgänzungsfuttermittelKatzeVitaminpräparat</v>
      </c>
      <c r="E258" s="4" t="s">
        <v>91</v>
      </c>
      <c r="F258" s="19" t="s">
        <v>90</v>
      </c>
      <c r="G258" s="4" t="s">
        <v>124</v>
      </c>
      <c r="L258" s="4" t="s">
        <v>2416</v>
      </c>
      <c r="M258">
        <f t="shared" si="77"/>
        <v>17</v>
      </c>
      <c r="N258">
        <f t="shared" si="78"/>
        <v>2</v>
      </c>
      <c r="P258">
        <f t="shared" si="83"/>
        <v>1.9</v>
      </c>
      <c r="R258">
        <f t="shared" si="80"/>
        <v>2.2000000000000002</v>
      </c>
      <c r="U258" s="33" t="str">
        <f t="shared" si="68"/>
        <v/>
      </c>
      <c r="AF258" s="4">
        <f t="shared" si="81"/>
        <v>0</v>
      </c>
      <c r="AL258" s="4">
        <f t="shared" si="69"/>
        <v>0</v>
      </c>
      <c r="AP258" s="4">
        <v>30</v>
      </c>
      <c r="AS258" s="4">
        <v>250000</v>
      </c>
      <c r="AT258" s="4">
        <v>150</v>
      </c>
      <c r="AY258" s="4">
        <v>80</v>
      </c>
      <c r="BC258" s="4" t="s">
        <v>2416</v>
      </c>
      <c r="BD258" s="4" t="s">
        <v>2397</v>
      </c>
      <c r="BE258" s="4" t="s">
        <v>91</v>
      </c>
      <c r="BF258" s="4">
        <v>17</v>
      </c>
      <c r="BG258" s="4">
        <v>2</v>
      </c>
      <c r="BI258" s="4">
        <v>1.9</v>
      </c>
      <c r="BK258" s="4">
        <v>2.2000000000000002</v>
      </c>
      <c r="BL258" s="4" t="s">
        <v>2419</v>
      </c>
      <c r="BM258" s="4" t="s">
        <v>2418</v>
      </c>
    </row>
    <row r="259" spans="4:65">
      <c r="D259" s="17" t="str">
        <f t="shared" si="76"/>
        <v>ErgänzungsfuttermittelKatzeVitaminpräparat</v>
      </c>
      <c r="E259" s="4" t="s">
        <v>91</v>
      </c>
      <c r="F259" s="19" t="s">
        <v>90</v>
      </c>
      <c r="G259" s="4" t="s">
        <v>124</v>
      </c>
      <c r="L259" s="4" t="s">
        <v>2104</v>
      </c>
      <c r="M259">
        <f t="shared" si="77"/>
        <v>7.4</v>
      </c>
      <c r="N259">
        <f t="shared" si="78"/>
        <v>29.3</v>
      </c>
      <c r="P259">
        <f t="shared" si="83"/>
        <v>3.6</v>
      </c>
      <c r="R259">
        <f t="shared" si="80"/>
        <v>1</v>
      </c>
      <c r="U259" s="33" t="str">
        <f t="shared" si="68"/>
        <v/>
      </c>
      <c r="W259" s="4">
        <v>1380</v>
      </c>
      <c r="X259" s="4">
        <v>360</v>
      </c>
      <c r="AF259" s="4">
        <f t="shared" si="81"/>
        <v>0</v>
      </c>
      <c r="AL259" s="4">
        <f t="shared" si="69"/>
        <v>0</v>
      </c>
      <c r="AO259" s="4">
        <v>166</v>
      </c>
      <c r="AQ259" s="4">
        <v>332</v>
      </c>
      <c r="BA259" s="4">
        <v>241.3</v>
      </c>
      <c r="BC259" s="4" t="s">
        <v>2104</v>
      </c>
      <c r="BD259" s="4" t="s">
        <v>1258</v>
      </c>
      <c r="BE259" s="4" t="s">
        <v>91</v>
      </c>
      <c r="BF259" s="4">
        <v>7.4</v>
      </c>
      <c r="BG259" s="4">
        <v>29.3</v>
      </c>
      <c r="BI259" s="4">
        <v>3.6</v>
      </c>
      <c r="BK259" s="4">
        <v>1</v>
      </c>
      <c r="BL259" s="4" t="s">
        <v>2106</v>
      </c>
      <c r="BM259" s="4" t="s">
        <v>2105</v>
      </c>
    </row>
    <row r="260" spans="4:65">
      <c r="D260" s="17" t="str">
        <f t="shared" si="76"/>
        <v>ErgänzungsfuttermittelKatzeVitaminpräparat</v>
      </c>
      <c r="E260" s="4" t="s">
        <v>91</v>
      </c>
      <c r="F260" s="19" t="s">
        <v>90</v>
      </c>
      <c r="G260" s="4" t="s">
        <v>124</v>
      </c>
      <c r="L260" s="4" t="s">
        <v>1765</v>
      </c>
      <c r="M260">
        <f t="shared" si="77"/>
        <v>11.4</v>
      </c>
      <c r="N260">
        <f t="shared" si="78"/>
        <v>4.0999999999999996</v>
      </c>
      <c r="P260">
        <f t="shared" si="83"/>
        <v>0.3</v>
      </c>
      <c r="R260">
        <f t="shared" si="80"/>
        <v>0.1</v>
      </c>
      <c r="U260" s="33" t="str">
        <f t="shared" si="68"/>
        <v/>
      </c>
      <c r="W260" s="4">
        <v>23400</v>
      </c>
      <c r="AF260" s="4">
        <f t="shared" si="81"/>
        <v>0</v>
      </c>
      <c r="AL260" s="4">
        <f t="shared" si="69"/>
        <v>0</v>
      </c>
      <c r="AO260" s="4">
        <v>50</v>
      </c>
      <c r="AP260" s="4">
        <v>50</v>
      </c>
      <c r="AQ260" s="4">
        <v>50</v>
      </c>
      <c r="AR260" s="4">
        <v>100</v>
      </c>
      <c r="AT260" s="4">
        <v>250</v>
      </c>
      <c r="AU260" s="4">
        <v>250</v>
      </c>
      <c r="BA260" s="4">
        <v>537</v>
      </c>
      <c r="BB260" s="4">
        <v>1.7</v>
      </c>
      <c r="BC260" s="4" t="s">
        <v>1765</v>
      </c>
      <c r="BD260" s="4" t="s">
        <v>1767</v>
      </c>
      <c r="BE260" s="4" t="s">
        <v>91</v>
      </c>
      <c r="BF260" s="4">
        <v>11.4</v>
      </c>
      <c r="BG260" s="4">
        <v>4.0999999999999996</v>
      </c>
      <c r="BI260" s="4">
        <v>0.3</v>
      </c>
      <c r="BK260" s="4">
        <v>0.1</v>
      </c>
      <c r="BL260" s="4" t="s">
        <v>1768</v>
      </c>
      <c r="BM260" s="4" t="s">
        <v>1766</v>
      </c>
    </row>
    <row r="261" spans="4:65">
      <c r="D261" s="17" t="str">
        <f t="shared" si="76"/>
        <v>ErgänzungsfuttermittelKatzeVitaminpräparat</v>
      </c>
      <c r="E261" s="4" t="s">
        <v>91</v>
      </c>
      <c r="F261" s="19" t="s">
        <v>90</v>
      </c>
      <c r="G261" s="4" t="s">
        <v>124</v>
      </c>
      <c r="L261" s="4" t="s">
        <v>2110</v>
      </c>
      <c r="M261">
        <f t="shared" si="77"/>
        <v>10.6</v>
      </c>
      <c r="N261">
        <f t="shared" si="78"/>
        <v>0</v>
      </c>
      <c r="P261">
        <f>BI261</f>
        <v>0</v>
      </c>
      <c r="R261">
        <f t="shared" si="80"/>
        <v>0</v>
      </c>
      <c r="U261" s="33" t="str">
        <f t="shared" ref="U261:U324" si="84">IF(S261="","",S261/T261)</f>
        <v/>
      </c>
      <c r="AF261" s="4">
        <f t="shared" si="81"/>
        <v>0</v>
      </c>
      <c r="AL261" s="4">
        <f t="shared" si="69"/>
        <v>0</v>
      </c>
      <c r="AN261" s="4">
        <v>3530.9</v>
      </c>
      <c r="AO261" s="4">
        <v>319</v>
      </c>
      <c r="AP261" s="4">
        <v>215</v>
      </c>
      <c r="AQ261" s="4">
        <v>102</v>
      </c>
      <c r="AR261" s="4">
        <v>2500</v>
      </c>
      <c r="AU261" s="4">
        <v>49.8</v>
      </c>
      <c r="AZ261" s="4">
        <v>641</v>
      </c>
      <c r="BA261" s="4">
        <v>340.59</v>
      </c>
      <c r="BC261" s="4" t="s">
        <v>2110</v>
      </c>
      <c r="BD261" s="4" t="s">
        <v>1258</v>
      </c>
      <c r="BE261" s="4" t="s">
        <v>91</v>
      </c>
      <c r="BF261" s="4">
        <v>10.6</v>
      </c>
      <c r="BL261" s="4" t="s">
        <v>2112</v>
      </c>
      <c r="BM261" s="4" t="s">
        <v>2111</v>
      </c>
    </row>
    <row r="262" spans="4:65">
      <c r="D262" s="17" t="str">
        <f t="shared" si="76"/>
        <v>ErgänzungsfuttermittelKatzeVitaminpräparat</v>
      </c>
      <c r="E262" s="4" t="s">
        <v>91</v>
      </c>
      <c r="F262" s="19" t="s">
        <v>90</v>
      </c>
      <c r="G262" s="4" t="s">
        <v>124</v>
      </c>
      <c r="L262" s="4" t="s">
        <v>2113</v>
      </c>
      <c r="M262">
        <f t="shared" si="77"/>
        <v>10.1</v>
      </c>
      <c r="N262">
        <f t="shared" si="78"/>
        <v>22.3</v>
      </c>
      <c r="P262">
        <f>BI262</f>
        <v>7</v>
      </c>
      <c r="R262">
        <f t="shared" si="80"/>
        <v>4.4000000000000004</v>
      </c>
      <c r="U262" s="33" t="str">
        <f t="shared" si="84"/>
        <v/>
      </c>
      <c r="AF262" s="4">
        <f t="shared" si="81"/>
        <v>0</v>
      </c>
      <c r="AL262" s="4">
        <f t="shared" si="69"/>
        <v>0</v>
      </c>
      <c r="AN262" s="4">
        <v>1842.5</v>
      </c>
      <c r="AQ262" s="4">
        <v>83.3</v>
      </c>
      <c r="AR262" s="4">
        <v>600</v>
      </c>
      <c r="BA262" s="4">
        <v>263.89999999999998</v>
      </c>
      <c r="BB262" s="4">
        <v>0.75</v>
      </c>
      <c r="BC262" s="4" t="s">
        <v>2113</v>
      </c>
      <c r="BD262" s="4" t="s">
        <v>1258</v>
      </c>
      <c r="BE262" s="4" t="s">
        <v>91</v>
      </c>
      <c r="BF262" s="4">
        <v>10.1</v>
      </c>
      <c r="BG262" s="4">
        <v>22.3</v>
      </c>
      <c r="BI262" s="4">
        <v>7</v>
      </c>
      <c r="BK262" s="4">
        <v>4.4000000000000004</v>
      </c>
      <c r="BL262" s="4" t="s">
        <v>2115</v>
      </c>
      <c r="BM262" s="4" t="s">
        <v>2114</v>
      </c>
    </row>
    <row r="263" spans="4:65">
      <c r="D263" s="17" t="str">
        <f t="shared" si="76"/>
        <v>ErgänzungsfuttermittelKatzeVitaminpräparat</v>
      </c>
      <c r="E263" s="4" t="s">
        <v>91</v>
      </c>
      <c r="F263" s="19" t="s">
        <v>90</v>
      </c>
      <c r="G263" s="4" t="s">
        <v>124</v>
      </c>
      <c r="L263" s="4" t="s">
        <v>1782</v>
      </c>
      <c r="M263">
        <f t="shared" si="77"/>
        <v>1.5</v>
      </c>
      <c r="N263">
        <f t="shared" si="78"/>
        <v>0.9</v>
      </c>
      <c r="P263">
        <f>BI263</f>
        <v>0.1</v>
      </c>
      <c r="R263">
        <f t="shared" si="80"/>
        <v>0</v>
      </c>
      <c r="U263" s="33" t="str">
        <f t="shared" si="84"/>
        <v/>
      </c>
      <c r="AF263" s="4">
        <f t="shared" si="81"/>
        <v>0</v>
      </c>
      <c r="AL263" s="4">
        <f t="shared" si="69"/>
        <v>0</v>
      </c>
      <c r="AO263" s="4">
        <v>200</v>
      </c>
      <c r="AP263" s="4">
        <v>60</v>
      </c>
      <c r="AQ263" s="4">
        <v>70</v>
      </c>
      <c r="AR263" s="4">
        <v>175</v>
      </c>
      <c r="AT263" s="4">
        <v>600</v>
      </c>
      <c r="AU263" s="4">
        <v>2400</v>
      </c>
      <c r="AW263" s="4">
        <v>2650</v>
      </c>
      <c r="BA263" s="4">
        <v>42.88</v>
      </c>
      <c r="BC263" s="4" t="s">
        <v>1783</v>
      </c>
      <c r="BD263" s="4" t="s">
        <v>1769</v>
      </c>
      <c r="BE263" s="4" t="s">
        <v>91</v>
      </c>
      <c r="BF263" s="4">
        <v>1.5</v>
      </c>
      <c r="BG263" s="4">
        <v>0.9</v>
      </c>
      <c r="BI263" s="4">
        <v>0.1</v>
      </c>
      <c r="BK263" s="4">
        <v>0</v>
      </c>
      <c r="BL263" s="4" t="s">
        <v>1785</v>
      </c>
      <c r="BM263" s="4" t="s">
        <v>1784</v>
      </c>
    </row>
    <row r="264" spans="4:65">
      <c r="D264" s="17" t="str">
        <f t="shared" si="76"/>
        <v>ErgänzungsfuttermittelKatzeVitaminpräparat</v>
      </c>
      <c r="E264" s="4" t="s">
        <v>91</v>
      </c>
      <c r="F264" s="19" t="s">
        <v>90</v>
      </c>
      <c r="G264" s="4" t="s">
        <v>124</v>
      </c>
      <c r="L264" s="4" t="s">
        <v>1791</v>
      </c>
      <c r="M264">
        <f t="shared" si="77"/>
        <v>2.2000000000000002</v>
      </c>
      <c r="N264">
        <f t="shared" si="78"/>
        <v>2.2999999999999998</v>
      </c>
      <c r="P264">
        <f t="shared" ref="P264:P271" si="85">BI264</f>
        <v>0.5</v>
      </c>
      <c r="R264">
        <f t="shared" si="80"/>
        <v>0.7</v>
      </c>
      <c r="U264" s="33" t="str">
        <f t="shared" si="84"/>
        <v/>
      </c>
      <c r="AF264" s="4">
        <f t="shared" si="81"/>
        <v>0</v>
      </c>
      <c r="AL264" s="4">
        <f t="shared" si="69"/>
        <v>0</v>
      </c>
      <c r="AS264" s="4">
        <v>200000</v>
      </c>
      <c r="BA264" s="4">
        <v>36.35</v>
      </c>
      <c r="BC264" s="4" t="s">
        <v>1791</v>
      </c>
      <c r="BD264" s="4" t="s">
        <v>1769</v>
      </c>
      <c r="BE264" s="4" t="s">
        <v>91</v>
      </c>
      <c r="BF264" s="4">
        <v>2.2000000000000002</v>
      </c>
      <c r="BG264" s="4">
        <v>2.2999999999999998</v>
      </c>
      <c r="BI264" s="4">
        <v>0.5</v>
      </c>
      <c r="BK264" s="4">
        <v>0.7</v>
      </c>
      <c r="BL264" s="4" t="s">
        <v>1793</v>
      </c>
      <c r="BM264" s="4" t="s">
        <v>1792</v>
      </c>
    </row>
    <row r="265" spans="4:65">
      <c r="D265" s="17" t="str">
        <f t="shared" si="76"/>
        <v>ErgänzungsfuttermittelKatzeVitaminpräparat</v>
      </c>
      <c r="E265" s="4" t="s">
        <v>91</v>
      </c>
      <c r="F265" s="19" t="s">
        <v>90</v>
      </c>
      <c r="G265" s="4" t="s">
        <v>124</v>
      </c>
      <c r="L265" s="4" t="s">
        <v>3094</v>
      </c>
      <c r="M265">
        <f t="shared" si="77"/>
        <v>11.5</v>
      </c>
      <c r="N265">
        <f t="shared" si="78"/>
        <v>40.9</v>
      </c>
      <c r="P265">
        <f t="shared" si="85"/>
        <v>15</v>
      </c>
      <c r="R265">
        <f t="shared" si="80"/>
        <v>2.2000000000000002</v>
      </c>
      <c r="U265" s="33" t="str">
        <f t="shared" si="84"/>
        <v/>
      </c>
      <c r="AF265" s="4">
        <f t="shared" si="81"/>
        <v>0</v>
      </c>
      <c r="AL265" s="4">
        <f t="shared" ref="AL265:AL270" si="86">AK265*$BO$14</f>
        <v>0</v>
      </c>
      <c r="AN265" s="4">
        <v>850</v>
      </c>
      <c r="AW265" s="4">
        <v>850</v>
      </c>
      <c r="BA265" s="4">
        <v>327.86</v>
      </c>
      <c r="BB265" s="4">
        <v>1.5</v>
      </c>
      <c r="BC265" s="4" t="s">
        <v>3094</v>
      </c>
      <c r="BD265" s="4" t="s">
        <v>3095</v>
      </c>
      <c r="BE265" s="4" t="s">
        <v>91</v>
      </c>
      <c r="BF265" s="4">
        <v>11.5</v>
      </c>
      <c r="BG265" s="4">
        <v>40.9</v>
      </c>
      <c r="BI265" s="4">
        <v>15</v>
      </c>
      <c r="BK265" s="4">
        <v>2.2000000000000002</v>
      </c>
      <c r="BL265" s="4" t="s">
        <v>3097</v>
      </c>
      <c r="BM265" s="4" t="s">
        <v>3096</v>
      </c>
    </row>
    <row r="266" spans="4:65">
      <c r="D266" s="17" t="str">
        <f t="shared" ref="D266:D271" si="87">E266&amp;""&amp;F266&amp;""&amp;G266&amp;""&amp;H266</f>
        <v>ErgänzungsfuttermittelKatzeVitaminpräparat</v>
      </c>
      <c r="E266" s="4" t="s">
        <v>91</v>
      </c>
      <c r="F266" s="19" t="s">
        <v>90</v>
      </c>
      <c r="G266" s="4" t="s">
        <v>124</v>
      </c>
      <c r="L266" s="4" t="s">
        <v>3133</v>
      </c>
      <c r="M266">
        <f t="shared" ref="M266:M271" si="88">BF266</f>
        <v>12.5</v>
      </c>
      <c r="N266">
        <f t="shared" ref="N266:N271" si="89">BG266</f>
        <v>27.7</v>
      </c>
      <c r="P266">
        <f t="shared" si="85"/>
        <v>14.4</v>
      </c>
      <c r="R266">
        <f t="shared" ref="R266:R271" si="90">BK266</f>
        <v>0.6</v>
      </c>
      <c r="U266" s="33" t="str">
        <f t="shared" si="84"/>
        <v/>
      </c>
      <c r="AF266" s="4">
        <f t="shared" si="81"/>
        <v>0</v>
      </c>
      <c r="AL266" s="4">
        <f t="shared" si="86"/>
        <v>0</v>
      </c>
      <c r="AN266" s="4">
        <v>30</v>
      </c>
      <c r="BA266" s="4">
        <v>130.71</v>
      </c>
      <c r="BB266" s="4">
        <v>2</v>
      </c>
      <c r="BC266" s="4" t="s">
        <v>3133</v>
      </c>
      <c r="BD266" s="4" t="s">
        <v>100</v>
      </c>
      <c r="BE266" s="4" t="s">
        <v>91</v>
      </c>
      <c r="BF266" s="4">
        <v>12.5</v>
      </c>
      <c r="BG266" s="4">
        <v>27.7</v>
      </c>
      <c r="BI266" s="4">
        <v>14.4</v>
      </c>
      <c r="BK266" s="4">
        <v>0.6</v>
      </c>
      <c r="BL266" s="4" t="s">
        <v>3134</v>
      </c>
      <c r="BM266" s="4" t="s">
        <v>3135</v>
      </c>
    </row>
    <row r="267" spans="4:65">
      <c r="D267" s="17" t="str">
        <f t="shared" si="87"/>
        <v>ErgänzungsfuttermittelKatzeVitaminpräparat</v>
      </c>
      <c r="E267" s="4" t="s">
        <v>91</v>
      </c>
      <c r="F267" s="19" t="s">
        <v>90</v>
      </c>
      <c r="G267" s="4" t="s">
        <v>124</v>
      </c>
      <c r="L267" s="4" t="s">
        <v>3136</v>
      </c>
      <c r="M267">
        <f t="shared" si="88"/>
        <v>2.9</v>
      </c>
      <c r="N267">
        <f t="shared" si="89"/>
        <v>38.700000000000003</v>
      </c>
      <c r="P267">
        <f t="shared" si="85"/>
        <v>1</v>
      </c>
      <c r="R267">
        <f t="shared" si="90"/>
        <v>0.8</v>
      </c>
      <c r="U267" s="33" t="str">
        <f t="shared" si="84"/>
        <v/>
      </c>
      <c r="AF267" s="4">
        <f t="shared" si="81"/>
        <v>0</v>
      </c>
      <c r="AL267" s="4">
        <f t="shared" si="86"/>
        <v>0</v>
      </c>
      <c r="AR267" s="4">
        <v>12000</v>
      </c>
      <c r="BA267" s="4">
        <v>165.58</v>
      </c>
      <c r="BB267" s="4">
        <v>0.7</v>
      </c>
      <c r="BC267" s="4" t="s">
        <v>3136</v>
      </c>
      <c r="BD267" s="4" t="s">
        <v>100</v>
      </c>
      <c r="BE267" s="4" t="s">
        <v>91</v>
      </c>
      <c r="BF267" s="4">
        <v>2.9</v>
      </c>
      <c r="BG267" s="4">
        <v>38.700000000000003</v>
      </c>
      <c r="BI267" s="4">
        <v>1</v>
      </c>
      <c r="BK267" s="4">
        <v>0.8</v>
      </c>
      <c r="BL267" s="4" t="s">
        <v>3138</v>
      </c>
      <c r="BM267" s="4" t="s">
        <v>3137</v>
      </c>
    </row>
    <row r="268" spans="4:65">
      <c r="D268" s="17" t="str">
        <f t="shared" si="87"/>
        <v>ErgänzungsfuttermittelKatzeVitaminpräparat</v>
      </c>
      <c r="E268" s="4" t="s">
        <v>91</v>
      </c>
      <c r="F268" s="19" t="s">
        <v>90</v>
      </c>
      <c r="G268" s="4" t="s">
        <v>124</v>
      </c>
      <c r="L268" s="4" t="s">
        <v>3156</v>
      </c>
      <c r="M268">
        <f t="shared" si="88"/>
        <v>9.1</v>
      </c>
      <c r="N268">
        <f t="shared" si="89"/>
        <v>29.7</v>
      </c>
      <c r="P268">
        <f t="shared" si="85"/>
        <v>12.6</v>
      </c>
      <c r="R268">
        <f t="shared" si="90"/>
        <v>0</v>
      </c>
      <c r="S268" s="4">
        <v>1900</v>
      </c>
      <c r="T268" s="4">
        <v>1300</v>
      </c>
      <c r="U268" s="33">
        <f t="shared" si="84"/>
        <v>1.4615384615384615</v>
      </c>
      <c r="V268" s="4">
        <v>100</v>
      </c>
      <c r="W268" s="4">
        <v>3600</v>
      </c>
      <c r="X268" s="4">
        <v>700</v>
      </c>
      <c r="Y268" s="4">
        <v>200</v>
      </c>
      <c r="AF268" s="4">
        <f t="shared" si="81"/>
        <v>0</v>
      </c>
      <c r="AL268" s="4">
        <f t="shared" si="86"/>
        <v>0</v>
      </c>
      <c r="AQ268" s="4">
        <v>500</v>
      </c>
      <c r="BA268" s="4">
        <v>126.49</v>
      </c>
      <c r="BC268" s="4" t="s">
        <v>3156</v>
      </c>
      <c r="BD268" s="4" t="s">
        <v>100</v>
      </c>
      <c r="BE268" s="4" t="s">
        <v>91</v>
      </c>
      <c r="BF268" s="4">
        <v>9.1</v>
      </c>
      <c r="BG268" s="4">
        <v>29.7</v>
      </c>
      <c r="BI268" s="4">
        <v>12.6</v>
      </c>
      <c r="BK268" s="4">
        <v>0</v>
      </c>
      <c r="BL268" s="4" t="s">
        <v>3158</v>
      </c>
      <c r="BM268" s="4" t="s">
        <v>3157</v>
      </c>
    </row>
    <row r="269" spans="4:65">
      <c r="D269" s="17" t="str">
        <f t="shared" si="87"/>
        <v>ErgänzungsfuttermittelKatzeVitaminpräparat</v>
      </c>
      <c r="E269" s="4" t="s">
        <v>91</v>
      </c>
      <c r="F269" s="19" t="s">
        <v>90</v>
      </c>
      <c r="G269" s="4" t="s">
        <v>124</v>
      </c>
      <c r="L269" s="4" t="s">
        <v>3168</v>
      </c>
      <c r="M269">
        <f t="shared" si="88"/>
        <v>0.2</v>
      </c>
      <c r="N269">
        <f t="shared" si="89"/>
        <v>0.3</v>
      </c>
      <c r="P269">
        <f t="shared" si="85"/>
        <v>0</v>
      </c>
      <c r="R269">
        <f t="shared" si="90"/>
        <v>0</v>
      </c>
      <c r="U269" s="33" t="str">
        <f t="shared" si="84"/>
        <v/>
      </c>
      <c r="AF269" s="4">
        <f t="shared" si="81"/>
        <v>360</v>
      </c>
      <c r="AG269" s="4">
        <v>1200</v>
      </c>
      <c r="AL269" s="4">
        <f t="shared" si="86"/>
        <v>0</v>
      </c>
      <c r="BA269" s="4">
        <v>243.82</v>
      </c>
      <c r="BB269" s="4">
        <v>1</v>
      </c>
      <c r="BC269" s="4" t="s">
        <v>3168</v>
      </c>
      <c r="BD269" s="4" t="s">
        <v>100</v>
      </c>
      <c r="BE269" s="4" t="s">
        <v>91</v>
      </c>
      <c r="BF269" s="4">
        <v>0.2</v>
      </c>
      <c r="BG269" s="4">
        <v>0.3</v>
      </c>
      <c r="BI269" s="4">
        <v>0</v>
      </c>
      <c r="BK269" s="4">
        <v>0</v>
      </c>
      <c r="BL269" s="4" t="s">
        <v>3170</v>
      </c>
      <c r="BM269" s="4" t="s">
        <v>3169</v>
      </c>
    </row>
    <row r="270" spans="4:65">
      <c r="D270" s="17" t="str">
        <f t="shared" si="87"/>
        <v>ErgänzungsfuttermittelKatzeVitaminpräparat</v>
      </c>
      <c r="E270" s="4" t="s">
        <v>91</v>
      </c>
      <c r="F270" s="19" t="s">
        <v>90</v>
      </c>
      <c r="G270" s="4" t="s">
        <v>124</v>
      </c>
      <c r="L270" s="4" t="s">
        <v>3171</v>
      </c>
      <c r="M270">
        <f t="shared" si="88"/>
        <v>35</v>
      </c>
      <c r="N270">
        <f t="shared" si="89"/>
        <v>3.5</v>
      </c>
      <c r="P270">
        <f t="shared" si="85"/>
        <v>1</v>
      </c>
      <c r="R270">
        <f t="shared" si="90"/>
        <v>1</v>
      </c>
      <c r="U270" s="33" t="str">
        <f t="shared" si="84"/>
        <v/>
      </c>
      <c r="AF270" s="4">
        <f t="shared" si="81"/>
        <v>0</v>
      </c>
      <c r="AL270" s="4">
        <f t="shared" si="86"/>
        <v>0</v>
      </c>
      <c r="AN270" s="4">
        <v>1487</v>
      </c>
      <c r="AQ270" s="4">
        <v>500</v>
      </c>
      <c r="AR270" s="4">
        <v>10000</v>
      </c>
      <c r="AV270" s="4">
        <v>200000</v>
      </c>
      <c r="AW270" s="4">
        <v>4875</v>
      </c>
      <c r="BA270" s="4">
        <v>200.21</v>
      </c>
      <c r="BB270" s="4">
        <v>0.96</v>
      </c>
      <c r="BC270" s="4" t="s">
        <v>3171</v>
      </c>
      <c r="BD270" s="4" t="s">
        <v>100</v>
      </c>
      <c r="BE270" s="4" t="s">
        <v>91</v>
      </c>
      <c r="BF270" s="4">
        <v>35</v>
      </c>
      <c r="BG270" s="4">
        <v>3.5</v>
      </c>
      <c r="BI270" s="4">
        <v>1</v>
      </c>
      <c r="BK270" s="4">
        <v>1</v>
      </c>
      <c r="BL270" s="4" t="s">
        <v>3173</v>
      </c>
      <c r="BM270" s="4" t="s">
        <v>3172</v>
      </c>
    </row>
    <row r="271" spans="4:65">
      <c r="D271" s="17" t="str">
        <f t="shared" si="87"/>
        <v>ErgänzungsfuttermittelKatzeVitaminpräparat</v>
      </c>
      <c r="E271" s="4" t="s">
        <v>91</v>
      </c>
      <c r="F271" s="19" t="s">
        <v>90</v>
      </c>
      <c r="G271" s="4" t="s">
        <v>124</v>
      </c>
      <c r="L271" s="4" t="s">
        <v>3258</v>
      </c>
      <c r="M271">
        <f t="shared" si="88"/>
        <v>17.100000000000001</v>
      </c>
      <c r="N271">
        <f t="shared" si="89"/>
        <v>40</v>
      </c>
      <c r="P271">
        <f t="shared" si="85"/>
        <v>8.3000000000000007</v>
      </c>
      <c r="R271">
        <f t="shared" si="90"/>
        <v>2.7</v>
      </c>
      <c r="U271" s="33" t="str">
        <f t="shared" si="84"/>
        <v/>
      </c>
      <c r="AQ271" s="4">
        <v>300</v>
      </c>
      <c r="AV271" s="4">
        <v>50000</v>
      </c>
      <c r="BA271" s="4">
        <v>106.25</v>
      </c>
      <c r="BB271" s="4">
        <v>1</v>
      </c>
      <c r="BC271" s="4" t="s">
        <v>3258</v>
      </c>
      <c r="BD271" s="4" t="s">
        <v>442</v>
      </c>
      <c r="BE271" s="4" t="s">
        <v>91</v>
      </c>
      <c r="BF271" s="4">
        <v>17.100000000000001</v>
      </c>
      <c r="BG271" s="4">
        <v>40</v>
      </c>
      <c r="BI271" s="4">
        <v>8.3000000000000007</v>
      </c>
      <c r="BK271" s="4">
        <v>2.7</v>
      </c>
      <c r="BL271" s="4" t="s">
        <v>3260</v>
      </c>
      <c r="BM271" s="4" t="s">
        <v>3259</v>
      </c>
    </row>
    <row r="272" spans="4:65">
      <c r="D272" s="17"/>
      <c r="F272" s="19"/>
      <c r="U272" s="33" t="str">
        <f t="shared" si="84"/>
        <v/>
      </c>
      <c r="AF272" s="4">
        <f t="shared" ref="AF272:AF278" si="91">AG272*$BO$13</f>
        <v>0</v>
      </c>
      <c r="AL272" s="4">
        <f t="shared" ref="AL272:AL303" si="92">AK272*$BO$14</f>
        <v>0</v>
      </c>
    </row>
    <row r="273" spans="4:65">
      <c r="D273" s="17" t="str">
        <f t="shared" ref="D273:D336" si="93">E273&amp;""&amp;F273&amp;""&amp;G273&amp;""&amp;H273</f>
        <v>ErgänzungsfuttermittelKatzeAndere Supplemente</v>
      </c>
      <c r="E273" s="4" t="s">
        <v>91</v>
      </c>
      <c r="F273" s="19" t="s">
        <v>90</v>
      </c>
      <c r="G273" s="4" t="s">
        <v>93</v>
      </c>
      <c r="L273" s="4" t="s">
        <v>3116</v>
      </c>
      <c r="M273">
        <f t="shared" ref="M273:M336" si="94">BF273</f>
        <v>14.9</v>
      </c>
      <c r="N273">
        <f t="shared" ref="N273:N336" si="95">BG273</f>
        <v>24.8</v>
      </c>
      <c r="P273">
        <f t="shared" ref="P273:P336" si="96">BI273</f>
        <v>14.8</v>
      </c>
      <c r="Q273"/>
      <c r="R273">
        <f t="shared" ref="R273:R316" si="97">BK273</f>
        <v>0</v>
      </c>
      <c r="S273" s="4">
        <v>2100</v>
      </c>
      <c r="T273" s="4">
        <v>1300</v>
      </c>
      <c r="U273" s="33">
        <f t="shared" si="84"/>
        <v>1.6153846153846154</v>
      </c>
      <c r="V273" s="4">
        <v>100</v>
      </c>
      <c r="W273" s="4">
        <v>1100</v>
      </c>
      <c r="X273" s="4">
        <v>740</v>
      </c>
      <c r="Y273" s="4">
        <v>200</v>
      </c>
      <c r="AF273" s="4">
        <f t="shared" si="91"/>
        <v>0</v>
      </c>
      <c r="AL273" s="4">
        <f t="shared" si="92"/>
        <v>0</v>
      </c>
      <c r="AZ273" s="4">
        <v>60000</v>
      </c>
      <c r="BA273" s="4">
        <v>99.65</v>
      </c>
      <c r="BC273" s="4" t="s">
        <v>3116</v>
      </c>
      <c r="BD273" s="4" t="s">
        <v>100</v>
      </c>
      <c r="BE273" s="4" t="s">
        <v>91</v>
      </c>
      <c r="BF273" s="4">
        <v>14.9</v>
      </c>
      <c r="BG273" s="4">
        <v>24.8</v>
      </c>
      <c r="BI273" s="4">
        <v>14.8</v>
      </c>
      <c r="BK273" s="4">
        <v>0</v>
      </c>
      <c r="BL273" s="4" t="s">
        <v>3118</v>
      </c>
      <c r="BM273" s="4" t="s">
        <v>3117</v>
      </c>
    </row>
    <row r="274" spans="4:65">
      <c r="D274" s="17" t="str">
        <f t="shared" si="93"/>
        <v>ErgänzungsfuttermittelKatzeAndere Supplemente</v>
      </c>
      <c r="E274" s="4" t="s">
        <v>91</v>
      </c>
      <c r="F274" s="19" t="s">
        <v>90</v>
      </c>
      <c r="G274" s="4" t="s">
        <v>93</v>
      </c>
      <c r="L274" s="4" t="s">
        <v>3109</v>
      </c>
      <c r="M274">
        <f t="shared" si="94"/>
        <v>10</v>
      </c>
      <c r="N274">
        <f t="shared" si="95"/>
        <v>30</v>
      </c>
      <c r="P274">
        <f t="shared" si="96"/>
        <v>12</v>
      </c>
      <c r="Q274"/>
      <c r="R274">
        <f t="shared" si="97"/>
        <v>2</v>
      </c>
      <c r="U274" s="33" t="str">
        <f t="shared" si="84"/>
        <v/>
      </c>
      <c r="AF274" s="4">
        <f t="shared" si="91"/>
        <v>0</v>
      </c>
      <c r="AL274" s="4">
        <f t="shared" si="92"/>
        <v>0</v>
      </c>
      <c r="BA274" s="4">
        <v>274.81</v>
      </c>
      <c r="BB274" s="4">
        <v>8</v>
      </c>
      <c r="BC274" s="4" t="s">
        <v>3109</v>
      </c>
      <c r="BD274" s="4" t="s">
        <v>100</v>
      </c>
      <c r="BE274" s="4" t="s">
        <v>91</v>
      </c>
      <c r="BF274" s="4">
        <v>10</v>
      </c>
      <c r="BG274" s="4">
        <v>30</v>
      </c>
      <c r="BI274" s="4">
        <v>12</v>
      </c>
      <c r="BK274" s="4">
        <v>2</v>
      </c>
      <c r="BL274" s="4" t="s">
        <v>3111</v>
      </c>
      <c r="BM274" s="4" t="s">
        <v>3110</v>
      </c>
    </row>
    <row r="275" spans="4:65">
      <c r="D275" s="17" t="str">
        <f t="shared" si="93"/>
        <v>ErgänzungsfuttermittelKatzeAndere Supplemente</v>
      </c>
      <c r="E275" s="4" t="s">
        <v>91</v>
      </c>
      <c r="F275" s="19" t="s">
        <v>90</v>
      </c>
      <c r="G275" s="4" t="s">
        <v>93</v>
      </c>
      <c r="L275" s="4" t="s">
        <v>252</v>
      </c>
      <c r="M275">
        <f t="shared" si="94"/>
        <v>25.1</v>
      </c>
      <c r="N275">
        <f t="shared" si="95"/>
        <v>6</v>
      </c>
      <c r="P275">
        <f t="shared" si="96"/>
        <v>3</v>
      </c>
      <c r="Q275"/>
      <c r="R275">
        <f t="shared" si="97"/>
        <v>17.899999999999999</v>
      </c>
      <c r="U275" s="33" t="str">
        <f t="shared" si="84"/>
        <v/>
      </c>
      <c r="AF275" s="4">
        <f t="shared" si="91"/>
        <v>0</v>
      </c>
      <c r="AL275" s="4">
        <f t="shared" si="92"/>
        <v>0</v>
      </c>
      <c r="BA275" s="4">
        <v>227.273</v>
      </c>
      <c r="BB275" s="4" t="s">
        <v>255</v>
      </c>
      <c r="BC275" s="4" t="s">
        <v>252</v>
      </c>
      <c r="BD275" s="4" t="s">
        <v>214</v>
      </c>
      <c r="BE275" s="4" t="s">
        <v>91</v>
      </c>
      <c r="BF275" s="4">
        <v>25.1</v>
      </c>
      <c r="BG275" s="4">
        <v>6</v>
      </c>
      <c r="BI275" s="4">
        <v>3</v>
      </c>
      <c r="BK275" s="4">
        <v>17.899999999999999</v>
      </c>
      <c r="BL275" s="4" t="s">
        <v>254</v>
      </c>
      <c r="BM275" s="4" t="s">
        <v>253</v>
      </c>
    </row>
    <row r="276" spans="4:65">
      <c r="D276" s="17" t="str">
        <f t="shared" si="93"/>
        <v>ErgänzungsfuttermittelKatzeAndere Supplemente</v>
      </c>
      <c r="E276" s="4" t="s">
        <v>91</v>
      </c>
      <c r="F276" s="19" t="s">
        <v>90</v>
      </c>
      <c r="G276" s="4" t="s">
        <v>93</v>
      </c>
      <c r="L276" s="4" t="s">
        <v>256</v>
      </c>
      <c r="M276">
        <f t="shared" si="94"/>
        <v>0.6</v>
      </c>
      <c r="N276">
        <f t="shared" si="95"/>
        <v>0.8</v>
      </c>
      <c r="P276">
        <f t="shared" si="96"/>
        <v>0</v>
      </c>
      <c r="Q276"/>
      <c r="R276">
        <f t="shared" si="97"/>
        <v>1</v>
      </c>
      <c r="U276" s="33" t="str">
        <f t="shared" si="84"/>
        <v/>
      </c>
      <c r="AF276" s="4">
        <f t="shared" si="91"/>
        <v>0</v>
      </c>
      <c r="AL276" s="4">
        <f t="shared" si="92"/>
        <v>0</v>
      </c>
      <c r="BA276" s="4">
        <v>25.83</v>
      </c>
      <c r="BC276" s="4" t="s">
        <v>256</v>
      </c>
      <c r="BD276" s="4" t="s">
        <v>214</v>
      </c>
      <c r="BE276" s="4" t="s">
        <v>91</v>
      </c>
      <c r="BF276" s="4">
        <v>0.6</v>
      </c>
      <c r="BG276" s="4">
        <v>0.8</v>
      </c>
      <c r="BI276" s="4">
        <v>0</v>
      </c>
      <c r="BK276" s="4">
        <v>1</v>
      </c>
      <c r="BL276" s="4" t="s">
        <v>257</v>
      </c>
      <c r="BM276" s="4" t="s">
        <v>258</v>
      </c>
    </row>
    <row r="277" spans="4:65">
      <c r="D277" s="17" t="str">
        <f t="shared" si="93"/>
        <v>ErgänzungsfuttermittelKatzeAndere Supplemente</v>
      </c>
      <c r="E277" s="4" t="s">
        <v>91</v>
      </c>
      <c r="F277" s="19" t="s">
        <v>90</v>
      </c>
      <c r="G277" s="4" t="s">
        <v>93</v>
      </c>
      <c r="L277" s="4" t="s">
        <v>259</v>
      </c>
      <c r="M277">
        <f t="shared" si="94"/>
        <v>21</v>
      </c>
      <c r="N277">
        <f t="shared" si="95"/>
        <v>6.5</v>
      </c>
      <c r="P277">
        <f t="shared" si="96"/>
        <v>3</v>
      </c>
      <c r="R277">
        <f t="shared" si="97"/>
        <v>0</v>
      </c>
      <c r="U277" s="33" t="str">
        <f t="shared" si="84"/>
        <v/>
      </c>
      <c r="AD277" s="4">
        <v>80000</v>
      </c>
      <c r="AF277" s="4">
        <f t="shared" si="91"/>
        <v>0</v>
      </c>
      <c r="AL277" s="4">
        <f t="shared" si="92"/>
        <v>0</v>
      </c>
      <c r="BA277" s="4">
        <v>428.75</v>
      </c>
      <c r="BB277" s="4">
        <v>0.3</v>
      </c>
      <c r="BC277" s="4" t="s">
        <v>260</v>
      </c>
      <c r="BD277" s="4" t="s">
        <v>214</v>
      </c>
      <c r="BE277" s="4" t="s">
        <v>91</v>
      </c>
      <c r="BF277" s="4">
        <v>21</v>
      </c>
      <c r="BG277" s="4">
        <v>6.5</v>
      </c>
      <c r="BI277" s="4">
        <v>3</v>
      </c>
      <c r="BL277" s="4" t="s">
        <v>262</v>
      </c>
      <c r="BM277" s="4" t="s">
        <v>261</v>
      </c>
    </row>
    <row r="278" spans="4:65">
      <c r="D278" s="17" t="str">
        <f t="shared" si="93"/>
        <v>ErgänzungsfuttermittelKatzeAndere Supplemente</v>
      </c>
      <c r="E278" s="4" t="s">
        <v>91</v>
      </c>
      <c r="F278" s="19" t="s">
        <v>90</v>
      </c>
      <c r="G278" s="4" t="s">
        <v>93</v>
      </c>
      <c r="L278" s="4" t="s">
        <v>263</v>
      </c>
      <c r="M278">
        <f t="shared" si="94"/>
        <v>0</v>
      </c>
      <c r="N278">
        <f t="shared" si="95"/>
        <v>19.2</v>
      </c>
      <c r="P278">
        <f t="shared" si="96"/>
        <v>0.8</v>
      </c>
      <c r="R278">
        <f t="shared" si="97"/>
        <v>2.4</v>
      </c>
      <c r="U278" s="33" t="str">
        <f t="shared" si="84"/>
        <v/>
      </c>
      <c r="AF278" s="4">
        <f t="shared" si="91"/>
        <v>0</v>
      </c>
      <c r="AL278" s="4">
        <f t="shared" si="92"/>
        <v>0</v>
      </c>
      <c r="BB278" s="4">
        <v>0.8</v>
      </c>
      <c r="BC278" s="4" t="s">
        <v>263</v>
      </c>
      <c r="BD278" s="4" t="s">
        <v>214</v>
      </c>
      <c r="BE278" s="4" t="s">
        <v>91</v>
      </c>
      <c r="BG278" s="4">
        <v>19.2</v>
      </c>
      <c r="BI278" s="4">
        <v>0.8</v>
      </c>
      <c r="BK278" s="4">
        <v>2.4</v>
      </c>
      <c r="BL278" s="4" t="s">
        <v>264</v>
      </c>
      <c r="BM278" s="4" t="s">
        <v>265</v>
      </c>
    </row>
    <row r="279" spans="4:65">
      <c r="D279" s="17" t="str">
        <f t="shared" si="93"/>
        <v>ErgänzungsfuttermittelKatzeAndere Supplemente</v>
      </c>
      <c r="E279" s="4" t="s">
        <v>91</v>
      </c>
      <c r="F279" s="19" t="s">
        <v>90</v>
      </c>
      <c r="G279" s="4" t="s">
        <v>93</v>
      </c>
      <c r="L279" s="4" t="s">
        <v>325</v>
      </c>
      <c r="M279">
        <f t="shared" si="94"/>
        <v>8.6999999999999993</v>
      </c>
      <c r="N279">
        <f t="shared" si="95"/>
        <v>10.4</v>
      </c>
      <c r="P279">
        <f t="shared" si="96"/>
        <v>3.5</v>
      </c>
      <c r="R279">
        <f t="shared" si="97"/>
        <v>19</v>
      </c>
      <c r="U279" s="33" t="str">
        <f t="shared" si="84"/>
        <v/>
      </c>
      <c r="AF279" s="4">
        <f t="shared" ref="AF279:AF343" si="98">AG279*$BO$13</f>
        <v>0</v>
      </c>
      <c r="AL279" s="4">
        <f t="shared" si="92"/>
        <v>0</v>
      </c>
      <c r="BA279" s="4">
        <v>719.6</v>
      </c>
      <c r="BB279" s="4">
        <v>0.15</v>
      </c>
      <c r="BC279" s="4" t="s">
        <v>326</v>
      </c>
      <c r="BD279" s="4" t="s">
        <v>269</v>
      </c>
      <c r="BE279" s="4" t="s">
        <v>91</v>
      </c>
      <c r="BF279" s="4">
        <v>8.6999999999999993</v>
      </c>
      <c r="BG279" s="4">
        <v>10.4</v>
      </c>
      <c r="BI279" s="4">
        <v>3.5</v>
      </c>
      <c r="BK279" s="4">
        <v>19</v>
      </c>
      <c r="BL279" s="4" t="s">
        <v>327</v>
      </c>
      <c r="BM279" s="4" t="s">
        <v>328</v>
      </c>
    </row>
    <row r="280" spans="4:65">
      <c r="D280" s="17" t="str">
        <f t="shared" si="93"/>
        <v>ErgänzungsfuttermittelKatzeAndere Supplemente</v>
      </c>
      <c r="E280" s="4" t="s">
        <v>91</v>
      </c>
      <c r="F280" s="19" t="s">
        <v>90</v>
      </c>
      <c r="G280" s="4" t="s">
        <v>93</v>
      </c>
      <c r="L280" s="4" t="s">
        <v>329</v>
      </c>
      <c r="M280">
        <f t="shared" si="94"/>
        <v>4.82</v>
      </c>
      <c r="N280">
        <f t="shared" si="95"/>
        <v>55.06</v>
      </c>
      <c r="P280">
        <f t="shared" si="96"/>
        <v>10.75</v>
      </c>
      <c r="R280">
        <f t="shared" si="97"/>
        <v>2.44</v>
      </c>
      <c r="U280" s="33" t="str">
        <f t="shared" si="84"/>
        <v/>
      </c>
      <c r="AF280" s="4">
        <f t="shared" si="98"/>
        <v>0</v>
      </c>
      <c r="AL280" s="4">
        <f t="shared" si="92"/>
        <v>0</v>
      </c>
      <c r="AZ280" s="4">
        <v>20000</v>
      </c>
      <c r="BA280" s="4">
        <v>366.5</v>
      </c>
      <c r="BB280" s="4">
        <v>1</v>
      </c>
      <c r="BC280" s="4" t="s">
        <v>329</v>
      </c>
      <c r="BD280" s="4" t="s">
        <v>269</v>
      </c>
      <c r="BE280" s="4" t="s">
        <v>91</v>
      </c>
      <c r="BF280" s="4">
        <v>4.82</v>
      </c>
      <c r="BG280" s="4">
        <v>55.06</v>
      </c>
      <c r="BI280" s="4">
        <v>10.75</v>
      </c>
      <c r="BK280" s="4">
        <v>2.44</v>
      </c>
      <c r="BL280" s="4" t="s">
        <v>331</v>
      </c>
      <c r="BM280" s="4" t="s">
        <v>330</v>
      </c>
    </row>
    <row r="281" spans="4:65">
      <c r="D281" s="17" t="str">
        <f t="shared" si="93"/>
        <v>ErgänzungsfuttermittelKatzeAndere Supplemente</v>
      </c>
      <c r="E281" s="4" t="s">
        <v>91</v>
      </c>
      <c r="F281" s="19" t="s">
        <v>90</v>
      </c>
      <c r="G281" s="4" t="s">
        <v>93</v>
      </c>
      <c r="L281" s="4" t="s">
        <v>346</v>
      </c>
      <c r="M281">
        <f t="shared" si="94"/>
        <v>5.3</v>
      </c>
      <c r="N281">
        <f t="shared" si="95"/>
        <v>37.299999999999997</v>
      </c>
      <c r="P281">
        <f t="shared" si="96"/>
        <v>4</v>
      </c>
      <c r="R281">
        <f t="shared" si="97"/>
        <v>5.7</v>
      </c>
      <c r="U281" s="33" t="str">
        <f t="shared" si="84"/>
        <v/>
      </c>
      <c r="AF281" s="4">
        <f t="shared" si="98"/>
        <v>0</v>
      </c>
      <c r="AL281" s="4">
        <f t="shared" si="92"/>
        <v>0</v>
      </c>
      <c r="BA281" s="4">
        <v>119.96</v>
      </c>
      <c r="BB281" s="4">
        <v>0.5</v>
      </c>
      <c r="BC281" s="4" t="s">
        <v>346</v>
      </c>
      <c r="BD281" s="4" t="s">
        <v>269</v>
      </c>
      <c r="BE281" s="4" t="s">
        <v>91</v>
      </c>
      <c r="BF281" s="4">
        <v>5.3</v>
      </c>
      <c r="BG281" s="4">
        <v>37.299999999999997</v>
      </c>
      <c r="BI281" s="4">
        <v>4</v>
      </c>
      <c r="BK281" s="4">
        <v>5.7</v>
      </c>
      <c r="BL281" s="4" t="s">
        <v>348</v>
      </c>
      <c r="BM281" s="4" t="s">
        <v>347</v>
      </c>
    </row>
    <row r="282" spans="4:65">
      <c r="D282" s="17" t="str">
        <f t="shared" si="93"/>
        <v>ErgänzungsfuttermittelKatzeAndere Supplemente</v>
      </c>
      <c r="E282" s="4" t="s">
        <v>91</v>
      </c>
      <c r="F282" s="19" t="s">
        <v>90</v>
      </c>
      <c r="G282" s="4" t="s">
        <v>93</v>
      </c>
      <c r="L282" s="4" t="s">
        <v>354</v>
      </c>
      <c r="M282">
        <f t="shared" si="94"/>
        <v>37.56</v>
      </c>
      <c r="N282">
        <f t="shared" si="95"/>
        <v>27.92</v>
      </c>
      <c r="P282">
        <f t="shared" si="96"/>
        <v>1.62</v>
      </c>
      <c r="R282">
        <f t="shared" si="97"/>
        <v>2.04</v>
      </c>
      <c r="U282" s="33" t="str">
        <f t="shared" si="84"/>
        <v/>
      </c>
      <c r="AF282" s="4">
        <f t="shared" si="98"/>
        <v>0</v>
      </c>
      <c r="AL282" s="4">
        <f t="shared" si="92"/>
        <v>0</v>
      </c>
      <c r="BA282" s="4">
        <v>75.959999999999994</v>
      </c>
      <c r="BB282" s="4">
        <v>1</v>
      </c>
      <c r="BC282" s="4" t="s">
        <v>351</v>
      </c>
      <c r="BD282" s="4" t="s">
        <v>269</v>
      </c>
      <c r="BE282" s="4" t="s">
        <v>91</v>
      </c>
      <c r="BF282" s="4">
        <v>37.56</v>
      </c>
      <c r="BG282" s="4">
        <v>27.92</v>
      </c>
      <c r="BI282" s="4">
        <v>1.62</v>
      </c>
      <c r="BK282" s="4">
        <v>2.04</v>
      </c>
      <c r="BL282" s="4" t="s">
        <v>353</v>
      </c>
      <c r="BM282" s="4" t="s">
        <v>352</v>
      </c>
    </row>
    <row r="283" spans="4:65">
      <c r="D283" s="17" t="str">
        <f t="shared" si="93"/>
        <v>ErgänzungsfuttermittelKatzeAndere Supplemente</v>
      </c>
      <c r="E283" s="4" t="s">
        <v>91</v>
      </c>
      <c r="F283" s="19" t="s">
        <v>90</v>
      </c>
      <c r="G283" s="4" t="s">
        <v>93</v>
      </c>
      <c r="L283" s="4" t="s">
        <v>355</v>
      </c>
      <c r="M283">
        <f t="shared" si="94"/>
        <v>6.5</v>
      </c>
      <c r="N283">
        <f t="shared" si="95"/>
        <v>23.5</v>
      </c>
      <c r="P283">
        <f t="shared" si="96"/>
        <v>3.5</v>
      </c>
      <c r="R283">
        <f t="shared" si="97"/>
        <v>17.600000000000001</v>
      </c>
      <c r="U283" s="33" t="str">
        <f t="shared" si="84"/>
        <v/>
      </c>
      <c r="AF283" s="4">
        <f t="shared" si="98"/>
        <v>0</v>
      </c>
      <c r="AL283" s="4">
        <f t="shared" si="92"/>
        <v>0</v>
      </c>
      <c r="BA283" s="4">
        <v>127.96</v>
      </c>
      <c r="BB283" s="4">
        <v>2</v>
      </c>
      <c r="BC283" s="4" t="s">
        <v>355</v>
      </c>
      <c r="BD283" s="4" t="s">
        <v>269</v>
      </c>
      <c r="BE283" s="4" t="s">
        <v>91</v>
      </c>
      <c r="BF283" s="4">
        <v>6.5</v>
      </c>
      <c r="BG283" s="4">
        <v>23.5</v>
      </c>
      <c r="BI283" s="4">
        <v>3.5</v>
      </c>
      <c r="BK283" s="4">
        <v>17.600000000000001</v>
      </c>
      <c r="BL283" s="4" t="s">
        <v>357</v>
      </c>
      <c r="BM283" s="4" t="s">
        <v>356</v>
      </c>
    </row>
    <row r="284" spans="4:65">
      <c r="D284" s="17" t="str">
        <f t="shared" si="93"/>
        <v>ErgänzungsfuttermittelKatzeAndere Supplemente</v>
      </c>
      <c r="E284" s="4" t="s">
        <v>91</v>
      </c>
      <c r="F284" s="19" t="s">
        <v>90</v>
      </c>
      <c r="G284" s="4" t="s">
        <v>93</v>
      </c>
      <c r="L284" s="4" t="s">
        <v>387</v>
      </c>
      <c r="M284">
        <f t="shared" si="94"/>
        <v>0.2</v>
      </c>
      <c r="N284">
        <f t="shared" si="95"/>
        <v>0.5</v>
      </c>
      <c r="P284">
        <f t="shared" si="96"/>
        <v>0.3</v>
      </c>
      <c r="R284">
        <f t="shared" si="97"/>
        <v>0.3</v>
      </c>
      <c r="U284" s="33" t="str">
        <f t="shared" si="84"/>
        <v/>
      </c>
      <c r="AF284" s="4">
        <f t="shared" si="98"/>
        <v>0</v>
      </c>
      <c r="AL284" s="4">
        <f t="shared" si="92"/>
        <v>0</v>
      </c>
      <c r="BA284" s="4">
        <v>496.67</v>
      </c>
      <c r="BC284" s="4" t="s">
        <v>388</v>
      </c>
      <c r="BD284" s="4" t="s">
        <v>371</v>
      </c>
      <c r="BE284" s="4" t="s">
        <v>91</v>
      </c>
      <c r="BF284" s="4">
        <v>0.2</v>
      </c>
      <c r="BG284" s="4">
        <v>0.5</v>
      </c>
      <c r="BI284" s="4">
        <v>0.3</v>
      </c>
      <c r="BK284" s="4">
        <v>0.3</v>
      </c>
      <c r="BL284" s="4" t="s">
        <v>390</v>
      </c>
      <c r="BM284" s="4" t="s">
        <v>389</v>
      </c>
    </row>
    <row r="285" spans="4:65">
      <c r="D285" s="17" t="str">
        <f t="shared" si="93"/>
        <v>ErgänzungsfuttermittelKatzeAndere Supplemente</v>
      </c>
      <c r="E285" s="4" t="s">
        <v>91</v>
      </c>
      <c r="F285" s="19" t="s">
        <v>90</v>
      </c>
      <c r="G285" s="4" t="s">
        <v>93</v>
      </c>
      <c r="L285" s="4" t="s">
        <v>399</v>
      </c>
      <c r="M285">
        <f t="shared" si="94"/>
        <v>4.9000000000000004</v>
      </c>
      <c r="N285">
        <f t="shared" si="95"/>
        <v>64.2</v>
      </c>
      <c r="P285">
        <f t="shared" si="96"/>
        <v>8.5</v>
      </c>
      <c r="R285">
        <f t="shared" si="97"/>
        <v>0.7</v>
      </c>
      <c r="U285" s="33" t="str">
        <f t="shared" si="84"/>
        <v/>
      </c>
      <c r="AF285" s="4">
        <f t="shared" si="98"/>
        <v>0</v>
      </c>
      <c r="AL285" s="4">
        <f t="shared" si="92"/>
        <v>0</v>
      </c>
      <c r="BA285" s="4">
        <v>82.5</v>
      </c>
      <c r="BC285" s="4" t="s">
        <v>399</v>
      </c>
      <c r="BD285" s="4" t="s">
        <v>371</v>
      </c>
      <c r="BE285" s="4" t="s">
        <v>91</v>
      </c>
      <c r="BF285" s="4">
        <v>4.9000000000000004</v>
      </c>
      <c r="BG285" s="4">
        <v>64.2</v>
      </c>
      <c r="BI285" s="4">
        <v>8.5</v>
      </c>
      <c r="BK285" s="4">
        <v>0.7</v>
      </c>
      <c r="BL285" s="4" t="s">
        <v>401</v>
      </c>
      <c r="BM285" s="4" t="s">
        <v>400</v>
      </c>
    </row>
    <row r="286" spans="4:65">
      <c r="D286" s="17" t="str">
        <f t="shared" si="93"/>
        <v>ErgänzungsfuttermittelKatzeAndere Supplemente</v>
      </c>
      <c r="E286" s="4" t="s">
        <v>91</v>
      </c>
      <c r="F286" s="19" t="s">
        <v>90</v>
      </c>
      <c r="G286" s="4" t="s">
        <v>93</v>
      </c>
      <c r="L286" s="4" t="s">
        <v>402</v>
      </c>
      <c r="M286">
        <f t="shared" si="94"/>
        <v>7.7</v>
      </c>
      <c r="N286">
        <f t="shared" si="95"/>
        <v>10.3</v>
      </c>
      <c r="P286">
        <f t="shared" si="96"/>
        <v>3.5</v>
      </c>
      <c r="R286">
        <f t="shared" si="97"/>
        <v>12.6</v>
      </c>
      <c r="U286" s="33" t="str">
        <f t="shared" si="84"/>
        <v/>
      </c>
      <c r="X286" s="4">
        <v>100</v>
      </c>
      <c r="AF286" s="4">
        <f t="shared" si="98"/>
        <v>0</v>
      </c>
      <c r="AL286" s="4">
        <f t="shared" si="92"/>
        <v>0</v>
      </c>
      <c r="BA286" s="4">
        <v>16.95</v>
      </c>
      <c r="BC286" s="4" t="s">
        <v>403</v>
      </c>
      <c r="BD286" s="4" t="s">
        <v>371</v>
      </c>
      <c r="BE286" s="4" t="s">
        <v>91</v>
      </c>
      <c r="BF286" s="4">
        <v>7.7</v>
      </c>
      <c r="BG286" s="4">
        <v>10.3</v>
      </c>
      <c r="BI286" s="4">
        <v>3.5</v>
      </c>
      <c r="BK286" s="4">
        <v>12.6</v>
      </c>
      <c r="BL286" s="4" t="s">
        <v>405</v>
      </c>
      <c r="BM286" s="4" t="s">
        <v>404</v>
      </c>
    </row>
    <row r="287" spans="4:65">
      <c r="D287" s="17" t="str">
        <f t="shared" si="93"/>
        <v>ErgänzungsfuttermittelKatzeAndere Supplemente</v>
      </c>
      <c r="E287" s="4" t="s">
        <v>91</v>
      </c>
      <c r="F287" s="19" t="s">
        <v>90</v>
      </c>
      <c r="G287" s="4" t="s">
        <v>93</v>
      </c>
      <c r="L287" s="4" t="s">
        <v>409</v>
      </c>
      <c r="M287">
        <f t="shared" si="94"/>
        <v>0.2</v>
      </c>
      <c r="N287">
        <f t="shared" si="95"/>
        <v>0.5</v>
      </c>
      <c r="P287">
        <f t="shared" si="96"/>
        <v>0.3</v>
      </c>
      <c r="R287">
        <f t="shared" si="97"/>
        <v>0.3</v>
      </c>
      <c r="U287" s="33" t="str">
        <f t="shared" si="84"/>
        <v/>
      </c>
      <c r="AB287" s="4">
        <v>33</v>
      </c>
      <c r="AE287" s="4">
        <v>900</v>
      </c>
      <c r="AF287" s="4">
        <f t="shared" si="98"/>
        <v>0</v>
      </c>
      <c r="AL287" s="4">
        <f t="shared" si="92"/>
        <v>0</v>
      </c>
      <c r="BA287" s="4">
        <v>338</v>
      </c>
      <c r="BC287" s="4" t="s">
        <v>409</v>
      </c>
      <c r="BD287" s="4" t="s">
        <v>371</v>
      </c>
      <c r="BE287" s="4" t="s">
        <v>91</v>
      </c>
      <c r="BF287" s="4">
        <v>0.2</v>
      </c>
      <c r="BG287" s="4">
        <v>0.5</v>
      </c>
      <c r="BI287" s="4">
        <v>0.3</v>
      </c>
      <c r="BK287" s="4">
        <v>0.3</v>
      </c>
      <c r="BL287" s="4" t="s">
        <v>411</v>
      </c>
      <c r="BM287" s="4" t="s">
        <v>410</v>
      </c>
    </row>
    <row r="288" spans="4:65">
      <c r="D288" s="17" t="str">
        <f t="shared" si="93"/>
        <v>ErgänzungsfuttermittelKatzeAndere Supplemente</v>
      </c>
      <c r="E288" s="4" t="s">
        <v>91</v>
      </c>
      <c r="F288" s="19" t="s">
        <v>90</v>
      </c>
      <c r="G288" s="4" t="s">
        <v>93</v>
      </c>
      <c r="L288" s="4" t="s">
        <v>435</v>
      </c>
      <c r="M288">
        <f t="shared" si="94"/>
        <v>4.5999999999999996</v>
      </c>
      <c r="N288">
        <f t="shared" si="95"/>
        <v>66.7</v>
      </c>
      <c r="P288">
        <f t="shared" si="96"/>
        <v>0</v>
      </c>
      <c r="R288">
        <f t="shared" si="97"/>
        <v>0</v>
      </c>
      <c r="U288" s="33" t="str">
        <f t="shared" si="84"/>
        <v/>
      </c>
      <c r="AF288" s="4">
        <f t="shared" si="98"/>
        <v>0</v>
      </c>
      <c r="AL288" s="4">
        <f t="shared" si="92"/>
        <v>0</v>
      </c>
      <c r="AZ288" s="4">
        <v>98000</v>
      </c>
      <c r="BA288" s="4">
        <v>122.45</v>
      </c>
      <c r="BC288" s="4" t="s">
        <v>435</v>
      </c>
      <c r="BD288" s="4" t="s">
        <v>421</v>
      </c>
      <c r="BE288" s="4" t="s">
        <v>91</v>
      </c>
      <c r="BF288" s="4">
        <v>4.5999999999999996</v>
      </c>
      <c r="BG288" s="4">
        <v>66.7</v>
      </c>
      <c r="BI288" s="4">
        <v>0</v>
      </c>
      <c r="BK288" s="4">
        <v>0</v>
      </c>
      <c r="BL288" s="4" t="s">
        <v>437</v>
      </c>
      <c r="BM288" s="4" t="s">
        <v>436</v>
      </c>
    </row>
    <row r="289" spans="4:65">
      <c r="D289" s="17" t="str">
        <f t="shared" si="93"/>
        <v>ErgänzungsfuttermittelKatzeAndere Supplemente</v>
      </c>
      <c r="E289" s="4" t="s">
        <v>91</v>
      </c>
      <c r="F289" s="19" t="s">
        <v>90</v>
      </c>
      <c r="G289" s="4" t="s">
        <v>93</v>
      </c>
      <c r="L289" s="4" t="s">
        <v>450</v>
      </c>
      <c r="M289">
        <f t="shared" si="94"/>
        <v>10.7</v>
      </c>
      <c r="N289">
        <f t="shared" si="95"/>
        <v>47.1</v>
      </c>
      <c r="P289">
        <f t="shared" si="96"/>
        <v>3.9</v>
      </c>
      <c r="R289">
        <f t="shared" si="97"/>
        <v>0.5</v>
      </c>
      <c r="U289" s="33" t="str">
        <f t="shared" si="84"/>
        <v/>
      </c>
      <c r="AF289" s="4">
        <f t="shared" si="98"/>
        <v>0</v>
      </c>
      <c r="AL289" s="4">
        <f t="shared" si="92"/>
        <v>0</v>
      </c>
      <c r="AZ289" s="4">
        <v>50000</v>
      </c>
      <c r="BA289" s="4">
        <v>133.22</v>
      </c>
      <c r="BC289" s="4" t="s">
        <v>450</v>
      </c>
      <c r="BD289" s="4" t="s">
        <v>442</v>
      </c>
      <c r="BE289" s="4" t="s">
        <v>91</v>
      </c>
      <c r="BF289" s="4">
        <v>10.7</v>
      </c>
      <c r="BG289" s="4">
        <v>47.1</v>
      </c>
      <c r="BI289" s="4">
        <v>3.9</v>
      </c>
      <c r="BK289" s="4">
        <v>0.5</v>
      </c>
      <c r="BL289" s="4" t="s">
        <v>452</v>
      </c>
      <c r="BM289" s="4" t="s">
        <v>451</v>
      </c>
    </row>
    <row r="290" spans="4:65">
      <c r="D290" s="17" t="str">
        <f t="shared" si="93"/>
        <v>ErgänzungsfuttermittelKatzeAndere Supplemente</v>
      </c>
      <c r="E290" s="4" t="s">
        <v>91</v>
      </c>
      <c r="F290" s="19" t="s">
        <v>90</v>
      </c>
      <c r="G290" s="4" t="s">
        <v>93</v>
      </c>
      <c r="L290" s="4" t="s">
        <v>108</v>
      </c>
      <c r="M290">
        <f t="shared" si="94"/>
        <v>0.1</v>
      </c>
      <c r="N290">
        <f t="shared" si="95"/>
        <v>0.1</v>
      </c>
      <c r="P290">
        <f t="shared" si="96"/>
        <v>0.1</v>
      </c>
      <c r="Q290"/>
      <c r="R290">
        <f t="shared" si="97"/>
        <v>0.1</v>
      </c>
      <c r="U290" s="33" t="str">
        <f t="shared" si="84"/>
        <v/>
      </c>
      <c r="AF290" s="4">
        <f t="shared" si="98"/>
        <v>0</v>
      </c>
      <c r="AL290" s="4">
        <f t="shared" si="92"/>
        <v>0</v>
      </c>
      <c r="BA290" s="4">
        <v>656.14</v>
      </c>
      <c r="BC290" s="4" t="s">
        <v>108</v>
      </c>
      <c r="BD290" s="4" t="s">
        <v>105</v>
      </c>
      <c r="BE290" s="4" t="s">
        <v>91</v>
      </c>
      <c r="BF290" s="4">
        <v>0.1</v>
      </c>
      <c r="BG290" s="4">
        <v>0.1</v>
      </c>
      <c r="BI290" s="4">
        <v>0.1</v>
      </c>
      <c r="BJ290" s="4">
        <f>100-(BF290+BG290+BI290)</f>
        <v>99.7</v>
      </c>
      <c r="BK290" s="4">
        <v>0.1</v>
      </c>
      <c r="BL290" s="4" t="s">
        <v>109</v>
      </c>
      <c r="BM290" s="4" t="s">
        <v>110</v>
      </c>
    </row>
    <row r="291" spans="4:65">
      <c r="D291" s="17" t="str">
        <f t="shared" si="93"/>
        <v>ErgänzungsfuttermittelKatzeAndere Supplemente</v>
      </c>
      <c r="E291" s="4" t="s">
        <v>91</v>
      </c>
      <c r="F291" s="19" t="s">
        <v>90</v>
      </c>
      <c r="G291" s="4" t="s">
        <v>93</v>
      </c>
      <c r="L291" s="4" t="s">
        <v>538</v>
      </c>
      <c r="M291">
        <f t="shared" si="94"/>
        <v>1.3</v>
      </c>
      <c r="N291">
        <f t="shared" si="95"/>
        <v>0.1</v>
      </c>
      <c r="P291">
        <f t="shared" si="96"/>
        <v>24.3</v>
      </c>
      <c r="R291">
        <f t="shared" si="97"/>
        <v>2.8</v>
      </c>
      <c r="U291" s="33" t="str">
        <f t="shared" si="84"/>
        <v/>
      </c>
      <c r="AF291" s="4">
        <f t="shared" si="98"/>
        <v>0</v>
      </c>
      <c r="AL291" s="4">
        <f t="shared" si="92"/>
        <v>0</v>
      </c>
      <c r="BA291" s="4">
        <v>116.17</v>
      </c>
      <c r="BB291" s="4">
        <v>6</v>
      </c>
      <c r="BC291" s="4" t="s">
        <v>538</v>
      </c>
      <c r="BD291" s="4" t="s">
        <v>539</v>
      </c>
      <c r="BE291" s="4" t="s">
        <v>91</v>
      </c>
      <c r="BF291" s="4">
        <v>1.3</v>
      </c>
      <c r="BG291" s="4">
        <v>0.1</v>
      </c>
      <c r="BI291" s="4">
        <v>24.3</v>
      </c>
      <c r="BK291" s="4">
        <v>2.8</v>
      </c>
      <c r="BL291" s="4" t="s">
        <v>541</v>
      </c>
      <c r="BM291" s="4" t="s">
        <v>540</v>
      </c>
    </row>
    <row r="292" spans="4:65">
      <c r="D292" s="17" t="str">
        <f t="shared" si="93"/>
        <v>ErgänzungsfuttermittelKatzeAndere Supplemente</v>
      </c>
      <c r="E292" s="4" t="s">
        <v>91</v>
      </c>
      <c r="F292" s="19" t="s">
        <v>90</v>
      </c>
      <c r="G292" s="4" t="s">
        <v>93</v>
      </c>
      <c r="L292" s="4" t="s">
        <v>551</v>
      </c>
      <c r="M292">
        <f t="shared" si="94"/>
        <v>1</v>
      </c>
      <c r="N292">
        <f t="shared" si="95"/>
        <v>24</v>
      </c>
      <c r="P292">
        <f t="shared" si="96"/>
        <v>7.2</v>
      </c>
      <c r="R292">
        <f t="shared" si="97"/>
        <v>1</v>
      </c>
      <c r="U292" s="33" t="str">
        <f t="shared" si="84"/>
        <v/>
      </c>
      <c r="X292" s="4">
        <v>97</v>
      </c>
      <c r="AF292" s="4">
        <f t="shared" si="98"/>
        <v>0</v>
      </c>
      <c r="AL292" s="4">
        <f t="shared" si="92"/>
        <v>0</v>
      </c>
      <c r="BA292" s="4">
        <v>237.5</v>
      </c>
      <c r="BB292" s="4">
        <v>1</v>
      </c>
      <c r="BC292" s="4" t="s">
        <v>551</v>
      </c>
      <c r="BD292" s="4" t="s">
        <v>539</v>
      </c>
      <c r="BE292" s="4" t="s">
        <v>91</v>
      </c>
      <c r="BF292" s="4">
        <v>1</v>
      </c>
      <c r="BG292" s="4">
        <v>24</v>
      </c>
      <c r="BI292" s="4">
        <v>7.2</v>
      </c>
      <c r="BK292" s="4">
        <v>1</v>
      </c>
      <c r="BL292" s="4" t="s">
        <v>553</v>
      </c>
      <c r="BM292" s="4" t="s">
        <v>552</v>
      </c>
    </row>
    <row r="293" spans="4:65">
      <c r="D293" s="17" t="str">
        <f t="shared" si="93"/>
        <v>ErgänzungsfuttermittelKatzeAndere Supplemente</v>
      </c>
      <c r="E293" s="4" t="s">
        <v>91</v>
      </c>
      <c r="F293" s="19" t="s">
        <v>90</v>
      </c>
      <c r="G293" s="4" t="s">
        <v>93</v>
      </c>
      <c r="L293" s="4" t="s">
        <v>560</v>
      </c>
      <c r="M293">
        <f t="shared" si="94"/>
        <v>10</v>
      </c>
      <c r="N293">
        <f t="shared" si="95"/>
        <v>4</v>
      </c>
      <c r="P293">
        <f t="shared" si="96"/>
        <v>0.5</v>
      </c>
      <c r="R293">
        <f t="shared" si="97"/>
        <v>0.5</v>
      </c>
      <c r="S293" s="4">
        <v>3700</v>
      </c>
      <c r="T293" s="4">
        <v>1</v>
      </c>
      <c r="U293" s="33">
        <f t="shared" si="84"/>
        <v>3700</v>
      </c>
      <c r="AF293" s="4">
        <f t="shared" si="98"/>
        <v>0</v>
      </c>
      <c r="AL293" s="4">
        <f t="shared" si="92"/>
        <v>0</v>
      </c>
      <c r="BA293" s="4">
        <v>125.87</v>
      </c>
      <c r="BB293" s="4">
        <v>2</v>
      </c>
      <c r="BC293" s="4" t="s">
        <v>560</v>
      </c>
      <c r="BD293" s="4" t="s">
        <v>539</v>
      </c>
      <c r="BE293" s="4" t="s">
        <v>91</v>
      </c>
      <c r="BF293" s="4">
        <v>10</v>
      </c>
      <c r="BG293" s="4">
        <v>4</v>
      </c>
      <c r="BI293" s="4">
        <v>0.5</v>
      </c>
      <c r="BK293" s="4">
        <v>0.5</v>
      </c>
      <c r="BL293" s="4" t="s">
        <v>562</v>
      </c>
      <c r="BM293" s="4" t="s">
        <v>561</v>
      </c>
    </row>
    <row r="294" spans="4:65">
      <c r="D294" s="17" t="str">
        <f t="shared" si="93"/>
        <v>ErgänzungsfuttermittelKatzeAndere Supplemente</v>
      </c>
      <c r="E294" s="4" t="s">
        <v>91</v>
      </c>
      <c r="F294" s="19" t="s">
        <v>90</v>
      </c>
      <c r="G294" s="4" t="s">
        <v>93</v>
      </c>
      <c r="L294" s="4" t="s">
        <v>567</v>
      </c>
      <c r="M294">
        <f t="shared" si="94"/>
        <v>0.3</v>
      </c>
      <c r="N294">
        <f t="shared" si="95"/>
        <v>5.0999999999999996</v>
      </c>
      <c r="P294">
        <f t="shared" si="96"/>
        <v>28.2</v>
      </c>
      <c r="R294">
        <f t="shared" si="97"/>
        <v>5.5</v>
      </c>
      <c r="U294" s="33" t="str">
        <f t="shared" si="84"/>
        <v/>
      </c>
      <c r="X294" s="4">
        <v>50</v>
      </c>
      <c r="AF294" s="4">
        <f t="shared" si="98"/>
        <v>0</v>
      </c>
      <c r="AL294" s="4">
        <f t="shared" si="92"/>
        <v>0</v>
      </c>
      <c r="BA294" s="4">
        <v>230</v>
      </c>
      <c r="BB294" s="4">
        <v>9</v>
      </c>
      <c r="BC294" s="4" t="s">
        <v>567</v>
      </c>
      <c r="BD294" s="4" t="s">
        <v>539</v>
      </c>
      <c r="BE294" s="4" t="s">
        <v>91</v>
      </c>
      <c r="BF294" s="4">
        <v>0.3</v>
      </c>
      <c r="BG294" s="4">
        <v>5.0999999999999996</v>
      </c>
      <c r="BI294" s="4">
        <v>28.2</v>
      </c>
      <c r="BK294" s="4">
        <v>5.5</v>
      </c>
      <c r="BL294" s="4" t="s">
        <v>569</v>
      </c>
      <c r="BM294" s="4" t="s">
        <v>568</v>
      </c>
    </row>
    <row r="295" spans="4:65">
      <c r="D295" s="17" t="str">
        <f t="shared" si="93"/>
        <v>ErgänzungsfuttermittelKatzeAndere Supplemente</v>
      </c>
      <c r="E295" s="4" t="s">
        <v>91</v>
      </c>
      <c r="F295" s="19" t="s">
        <v>90</v>
      </c>
      <c r="G295" s="4" t="s">
        <v>93</v>
      </c>
      <c r="L295" s="4" t="s">
        <v>570</v>
      </c>
      <c r="M295">
        <f t="shared" si="94"/>
        <v>4.5</v>
      </c>
      <c r="N295">
        <f t="shared" si="95"/>
        <v>21.5</v>
      </c>
      <c r="P295">
        <f t="shared" si="96"/>
        <v>2</v>
      </c>
      <c r="R295">
        <f t="shared" si="97"/>
        <v>1</v>
      </c>
      <c r="U295" s="33" t="str">
        <f t="shared" si="84"/>
        <v/>
      </c>
      <c r="AF295" s="4">
        <f t="shared" si="98"/>
        <v>0</v>
      </c>
      <c r="AL295" s="4">
        <f t="shared" si="92"/>
        <v>0</v>
      </c>
      <c r="BC295" s="4" t="s">
        <v>570</v>
      </c>
      <c r="BD295" s="4" t="s">
        <v>539</v>
      </c>
      <c r="BE295" s="4" t="s">
        <v>91</v>
      </c>
      <c r="BF295" s="4">
        <v>4.5</v>
      </c>
      <c r="BG295" s="4">
        <v>21.5</v>
      </c>
      <c r="BI295" s="4">
        <v>2</v>
      </c>
      <c r="BK295" s="4">
        <v>1</v>
      </c>
      <c r="BL295" s="4" t="s">
        <v>572</v>
      </c>
      <c r="BM295" s="4" t="s">
        <v>571</v>
      </c>
    </row>
    <row r="296" spans="4:65">
      <c r="D296" s="17" t="str">
        <f t="shared" si="93"/>
        <v>ErgänzungsfuttermittelKatzeAndere Supplemente</v>
      </c>
      <c r="E296" s="4" t="s">
        <v>91</v>
      </c>
      <c r="F296" s="19" t="s">
        <v>90</v>
      </c>
      <c r="G296" s="4" t="s">
        <v>93</v>
      </c>
      <c r="L296" s="4" t="s">
        <v>573</v>
      </c>
      <c r="M296">
        <f t="shared" si="94"/>
        <v>3.5</v>
      </c>
      <c r="N296">
        <f t="shared" si="95"/>
        <v>17.3</v>
      </c>
      <c r="P296">
        <f t="shared" si="96"/>
        <v>1.5</v>
      </c>
      <c r="R296">
        <f t="shared" si="97"/>
        <v>4</v>
      </c>
      <c r="U296" s="33" t="str">
        <f t="shared" si="84"/>
        <v/>
      </c>
      <c r="AF296" s="4">
        <f t="shared" si="98"/>
        <v>0</v>
      </c>
      <c r="AL296" s="4">
        <f t="shared" si="92"/>
        <v>0</v>
      </c>
      <c r="BC296" s="4" t="s">
        <v>573</v>
      </c>
      <c r="BD296" s="4" t="s">
        <v>539</v>
      </c>
      <c r="BE296" s="4" t="s">
        <v>91</v>
      </c>
      <c r="BF296" s="4">
        <v>3.5</v>
      </c>
      <c r="BG296" s="4">
        <v>17.3</v>
      </c>
      <c r="BI296" s="4">
        <v>1.5</v>
      </c>
      <c r="BK296" s="4">
        <v>4</v>
      </c>
      <c r="BL296" s="4" t="s">
        <v>575</v>
      </c>
      <c r="BM296" s="4" t="s">
        <v>574</v>
      </c>
    </row>
    <row r="297" spans="4:65">
      <c r="D297" s="17" t="str">
        <f t="shared" si="93"/>
        <v>ErgänzungsfuttermittelKatzeAndere Supplemente</v>
      </c>
      <c r="E297" s="4" t="s">
        <v>91</v>
      </c>
      <c r="F297" s="19" t="s">
        <v>90</v>
      </c>
      <c r="G297" s="4" t="s">
        <v>93</v>
      </c>
      <c r="L297" s="4" t="s">
        <v>576</v>
      </c>
      <c r="M297">
        <f t="shared" si="94"/>
        <v>5</v>
      </c>
      <c r="N297">
        <f t="shared" si="95"/>
        <v>5.5</v>
      </c>
      <c r="P297">
        <f t="shared" si="96"/>
        <v>38.5</v>
      </c>
      <c r="R297">
        <f t="shared" si="97"/>
        <v>2.5</v>
      </c>
      <c r="U297" s="33" t="str">
        <f t="shared" si="84"/>
        <v/>
      </c>
      <c r="AF297" s="4">
        <f t="shared" si="98"/>
        <v>0</v>
      </c>
      <c r="AL297" s="4">
        <f t="shared" si="92"/>
        <v>0</v>
      </c>
      <c r="BA297" s="4">
        <v>49.95</v>
      </c>
      <c r="BB297" s="4">
        <v>3</v>
      </c>
      <c r="BC297" s="4" t="s">
        <v>577</v>
      </c>
      <c r="BD297" s="4" t="s">
        <v>578</v>
      </c>
      <c r="BE297" s="4" t="s">
        <v>91</v>
      </c>
      <c r="BF297" s="4">
        <v>5</v>
      </c>
      <c r="BG297" s="4">
        <v>5.5</v>
      </c>
      <c r="BI297" s="4">
        <v>38.5</v>
      </c>
      <c r="BK297" s="4">
        <v>2.5</v>
      </c>
      <c r="BL297" s="4" t="s">
        <v>580</v>
      </c>
      <c r="BM297" s="4" t="s">
        <v>579</v>
      </c>
    </row>
    <row r="298" spans="4:65">
      <c r="D298" s="17" t="str">
        <f t="shared" si="93"/>
        <v>ErgänzungsfuttermittelKatzeAndere Supplemente</v>
      </c>
      <c r="E298" s="4" t="s">
        <v>91</v>
      </c>
      <c r="F298" s="19" t="s">
        <v>90</v>
      </c>
      <c r="G298" s="4" t="s">
        <v>93</v>
      </c>
      <c r="L298" s="4" t="s">
        <v>600</v>
      </c>
      <c r="M298">
        <f t="shared" si="94"/>
        <v>5.5</v>
      </c>
      <c r="N298">
        <f t="shared" si="95"/>
        <v>5</v>
      </c>
      <c r="P298">
        <f t="shared" si="96"/>
        <v>37.5</v>
      </c>
      <c r="R298">
        <f t="shared" si="97"/>
        <v>2</v>
      </c>
      <c r="U298" s="33" t="str">
        <f t="shared" si="84"/>
        <v/>
      </c>
      <c r="AF298" s="4">
        <f t="shared" si="98"/>
        <v>0</v>
      </c>
      <c r="AL298" s="4">
        <f t="shared" si="92"/>
        <v>0</v>
      </c>
      <c r="BA298" s="4">
        <v>89.8</v>
      </c>
      <c r="BB298" s="4">
        <v>3</v>
      </c>
      <c r="BC298" s="4" t="s">
        <v>601</v>
      </c>
      <c r="BD298" s="4" t="s">
        <v>578</v>
      </c>
      <c r="BE298" s="4" t="s">
        <v>91</v>
      </c>
      <c r="BF298" s="4">
        <v>5.5</v>
      </c>
      <c r="BG298" s="4">
        <v>5</v>
      </c>
      <c r="BI298" s="4">
        <v>37.5</v>
      </c>
      <c r="BK298" s="4">
        <v>2</v>
      </c>
      <c r="BL298" s="4" t="s">
        <v>603</v>
      </c>
      <c r="BM298" s="4" t="s">
        <v>602</v>
      </c>
    </row>
    <row r="299" spans="4:65">
      <c r="D299" s="17" t="str">
        <f t="shared" si="93"/>
        <v>ErgänzungsfuttermittelKatzeAndere Supplemente</v>
      </c>
      <c r="E299" s="4" t="s">
        <v>91</v>
      </c>
      <c r="F299" s="19" t="s">
        <v>90</v>
      </c>
      <c r="G299" s="4" t="s">
        <v>93</v>
      </c>
      <c r="L299" s="4" t="s">
        <v>636</v>
      </c>
      <c r="M299">
        <f t="shared" si="94"/>
        <v>8</v>
      </c>
      <c r="N299">
        <f t="shared" si="95"/>
        <v>0</v>
      </c>
      <c r="P299">
        <f t="shared" si="96"/>
        <v>21.5</v>
      </c>
      <c r="R299">
        <f t="shared" si="97"/>
        <v>9</v>
      </c>
      <c r="U299" s="33" t="str">
        <f t="shared" si="84"/>
        <v/>
      </c>
      <c r="AF299" s="4">
        <f t="shared" si="98"/>
        <v>0</v>
      </c>
      <c r="AL299" s="4">
        <f t="shared" si="92"/>
        <v>0</v>
      </c>
      <c r="BC299" s="4" t="s">
        <v>636</v>
      </c>
      <c r="BD299" s="4" t="s">
        <v>578</v>
      </c>
      <c r="BE299" s="4" t="s">
        <v>91</v>
      </c>
      <c r="BF299" s="4">
        <v>8</v>
      </c>
      <c r="BI299" s="4">
        <v>21.5</v>
      </c>
      <c r="BK299" s="4">
        <v>9</v>
      </c>
      <c r="BL299" s="4" t="s">
        <v>638</v>
      </c>
      <c r="BM299" s="4" t="s">
        <v>637</v>
      </c>
    </row>
    <row r="300" spans="4:65">
      <c r="D300" s="17" t="str">
        <f t="shared" si="93"/>
        <v>ErgänzungsfuttermittelKatzeAndere Supplemente</v>
      </c>
      <c r="E300" s="4" t="s">
        <v>91</v>
      </c>
      <c r="F300" s="19" t="s">
        <v>90</v>
      </c>
      <c r="G300" s="4" t="s">
        <v>93</v>
      </c>
      <c r="L300" s="4" t="s">
        <v>666</v>
      </c>
      <c r="M300">
        <f t="shared" si="94"/>
        <v>1.6</v>
      </c>
      <c r="N300">
        <f t="shared" si="95"/>
        <v>9.8000000000000007</v>
      </c>
      <c r="P300">
        <f t="shared" si="96"/>
        <v>16</v>
      </c>
      <c r="R300">
        <f t="shared" si="97"/>
        <v>0.2</v>
      </c>
      <c r="U300" s="33" t="str">
        <f t="shared" si="84"/>
        <v/>
      </c>
      <c r="AF300" s="4">
        <f t="shared" si="98"/>
        <v>0</v>
      </c>
      <c r="AL300" s="4">
        <f t="shared" si="92"/>
        <v>0</v>
      </c>
      <c r="AZ300" s="4">
        <v>300</v>
      </c>
      <c r="BA300" s="4">
        <v>79.900000000000006</v>
      </c>
      <c r="BB300" s="4">
        <v>2.4</v>
      </c>
      <c r="BC300" s="4" t="s">
        <v>667</v>
      </c>
      <c r="BD300" s="4" t="s">
        <v>646</v>
      </c>
      <c r="BE300" s="4" t="s">
        <v>91</v>
      </c>
      <c r="BF300" s="4">
        <v>1.6</v>
      </c>
      <c r="BG300" s="4">
        <v>9.8000000000000007</v>
      </c>
      <c r="BI300" s="4">
        <v>16</v>
      </c>
      <c r="BK300" s="4">
        <v>0.2</v>
      </c>
      <c r="BL300" s="4" t="s">
        <v>669</v>
      </c>
      <c r="BM300" s="4" t="s">
        <v>668</v>
      </c>
    </row>
    <row r="301" spans="4:65">
      <c r="D301" s="17" t="str">
        <f t="shared" si="93"/>
        <v>ErgänzungsfuttermittelKatzeAndere Supplemente</v>
      </c>
      <c r="E301" s="4" t="s">
        <v>91</v>
      </c>
      <c r="F301" s="19" t="s">
        <v>90</v>
      </c>
      <c r="G301" s="4" t="s">
        <v>93</v>
      </c>
      <c r="L301" s="4" t="s">
        <v>719</v>
      </c>
      <c r="M301">
        <f t="shared" si="94"/>
        <v>13.3</v>
      </c>
      <c r="N301">
        <f t="shared" si="95"/>
        <v>36.9</v>
      </c>
      <c r="P301">
        <f t="shared" si="96"/>
        <v>2.6</v>
      </c>
      <c r="R301">
        <f t="shared" si="97"/>
        <v>9.1999999999999993</v>
      </c>
      <c r="U301" s="33" t="str">
        <f t="shared" si="84"/>
        <v/>
      </c>
      <c r="AF301" s="4">
        <f t="shared" si="98"/>
        <v>0</v>
      </c>
      <c r="AL301" s="4">
        <f t="shared" si="92"/>
        <v>0</v>
      </c>
      <c r="BA301" s="4">
        <v>289.8</v>
      </c>
      <c r="BC301" s="4" t="s">
        <v>720</v>
      </c>
      <c r="BD301" s="4" t="s">
        <v>703</v>
      </c>
      <c r="BE301" s="4" t="s">
        <v>91</v>
      </c>
      <c r="BF301" s="4">
        <v>13.3</v>
      </c>
      <c r="BG301" s="4">
        <v>36.9</v>
      </c>
      <c r="BI301" s="4">
        <v>2.6</v>
      </c>
      <c r="BK301" s="4">
        <v>9.1999999999999993</v>
      </c>
      <c r="BL301" s="4" t="s">
        <v>722</v>
      </c>
      <c r="BM301" s="4" t="s">
        <v>721</v>
      </c>
    </row>
    <row r="302" spans="4:65">
      <c r="D302" s="17" t="str">
        <f t="shared" si="93"/>
        <v>ErgänzungsfuttermittelKatzeAndere Supplemente</v>
      </c>
      <c r="E302" s="4" t="s">
        <v>91</v>
      </c>
      <c r="F302" s="19" t="s">
        <v>90</v>
      </c>
      <c r="G302" s="4" t="s">
        <v>93</v>
      </c>
      <c r="L302" s="4" t="s">
        <v>723</v>
      </c>
      <c r="M302">
        <f t="shared" si="94"/>
        <v>22.1</v>
      </c>
      <c r="N302">
        <f t="shared" si="95"/>
        <v>15.4</v>
      </c>
      <c r="P302">
        <f t="shared" si="96"/>
        <v>3.4</v>
      </c>
      <c r="R302">
        <f t="shared" si="97"/>
        <v>3.8</v>
      </c>
      <c r="U302" s="33" t="str">
        <f t="shared" si="84"/>
        <v/>
      </c>
      <c r="AF302" s="4">
        <f t="shared" si="98"/>
        <v>0</v>
      </c>
      <c r="AL302" s="4">
        <f t="shared" si="92"/>
        <v>0</v>
      </c>
      <c r="BA302" s="4">
        <v>51.07</v>
      </c>
      <c r="BC302" s="4" t="s">
        <v>723</v>
      </c>
      <c r="BD302" s="4" t="s">
        <v>703</v>
      </c>
      <c r="BE302" s="4" t="s">
        <v>91</v>
      </c>
      <c r="BF302" s="4">
        <v>22.1</v>
      </c>
      <c r="BG302" s="4">
        <v>15.4</v>
      </c>
      <c r="BI302" s="4">
        <v>3.4</v>
      </c>
      <c r="BK302" s="4">
        <v>3.8</v>
      </c>
      <c r="BL302" s="4" t="s">
        <v>725</v>
      </c>
      <c r="BM302" s="4" t="s">
        <v>724</v>
      </c>
    </row>
    <row r="303" spans="4:65">
      <c r="D303" s="17" t="str">
        <f t="shared" si="93"/>
        <v>ErgänzungsfuttermittelKatzeAndere Supplemente</v>
      </c>
      <c r="E303" s="4" t="s">
        <v>91</v>
      </c>
      <c r="F303" s="19" t="s">
        <v>90</v>
      </c>
      <c r="G303" s="4" t="s">
        <v>93</v>
      </c>
      <c r="L303" s="4" t="s">
        <v>749</v>
      </c>
      <c r="M303">
        <f t="shared" si="94"/>
        <v>0.8</v>
      </c>
      <c r="N303">
        <f t="shared" si="95"/>
        <v>0.5</v>
      </c>
      <c r="P303">
        <f t="shared" si="96"/>
        <v>1</v>
      </c>
      <c r="R303">
        <f t="shared" si="97"/>
        <v>0.3</v>
      </c>
      <c r="U303" s="33" t="str">
        <f t="shared" si="84"/>
        <v/>
      </c>
      <c r="AF303" s="4">
        <f t="shared" si="98"/>
        <v>0</v>
      </c>
      <c r="AL303" s="4">
        <f t="shared" si="92"/>
        <v>0</v>
      </c>
      <c r="BA303" s="4">
        <v>824.5</v>
      </c>
      <c r="BC303" s="4" t="s">
        <v>750</v>
      </c>
      <c r="BD303" s="4" t="s">
        <v>703</v>
      </c>
      <c r="BE303" s="4" t="s">
        <v>91</v>
      </c>
      <c r="BF303" s="4">
        <v>0.8</v>
      </c>
      <c r="BG303" s="4">
        <v>0.5</v>
      </c>
      <c r="BI303" s="4">
        <v>1</v>
      </c>
      <c r="BK303" s="4">
        <v>0.3</v>
      </c>
      <c r="BL303" s="4" t="s">
        <v>752</v>
      </c>
      <c r="BM303" s="4" t="s">
        <v>751</v>
      </c>
    </row>
    <row r="304" spans="4:65">
      <c r="D304" s="17" t="str">
        <f t="shared" si="93"/>
        <v>ErgänzungsfuttermittelKatzeAndere Supplemente</v>
      </c>
      <c r="E304" s="4" t="s">
        <v>91</v>
      </c>
      <c r="F304" s="19" t="s">
        <v>90</v>
      </c>
      <c r="G304" s="4" t="s">
        <v>93</v>
      </c>
      <c r="L304" s="4" t="s">
        <v>828</v>
      </c>
      <c r="M304">
        <f t="shared" si="94"/>
        <v>6</v>
      </c>
      <c r="N304">
        <f t="shared" si="95"/>
        <v>30.5</v>
      </c>
      <c r="P304">
        <f t="shared" si="96"/>
        <v>6</v>
      </c>
      <c r="R304">
        <f t="shared" si="97"/>
        <v>11.4</v>
      </c>
      <c r="U304" s="33" t="str">
        <f t="shared" si="84"/>
        <v/>
      </c>
      <c r="AF304" s="4">
        <f t="shared" si="98"/>
        <v>0</v>
      </c>
      <c r="AL304" s="4">
        <f t="shared" ref="AL304:AL328" si="99">AK304*$BO$14</f>
        <v>0</v>
      </c>
      <c r="BA304" s="4">
        <v>64.5</v>
      </c>
      <c r="BC304" s="4" t="s">
        <v>828</v>
      </c>
      <c r="BD304" s="4" t="s">
        <v>818</v>
      </c>
      <c r="BE304" s="4" t="s">
        <v>91</v>
      </c>
      <c r="BF304" s="4">
        <v>6</v>
      </c>
      <c r="BG304" s="4">
        <v>30.5</v>
      </c>
      <c r="BI304" s="4">
        <v>6</v>
      </c>
      <c r="BK304" s="4">
        <v>11.4</v>
      </c>
      <c r="BL304" s="4" t="s">
        <v>830</v>
      </c>
      <c r="BM304" s="4" t="s">
        <v>829</v>
      </c>
    </row>
    <row r="305" spans="4:68">
      <c r="D305" s="17" t="str">
        <f t="shared" si="93"/>
        <v>ErgänzungsfuttermittelKatzeAndere Supplemente</v>
      </c>
      <c r="E305" s="4" t="s">
        <v>91</v>
      </c>
      <c r="F305" s="19" t="s">
        <v>90</v>
      </c>
      <c r="G305" s="4" t="s">
        <v>93</v>
      </c>
      <c r="L305" s="4" t="s">
        <v>832</v>
      </c>
      <c r="M305">
        <f t="shared" si="94"/>
        <v>1.5</v>
      </c>
      <c r="N305">
        <f t="shared" si="95"/>
        <v>4</v>
      </c>
      <c r="P305">
        <f t="shared" si="96"/>
        <v>3</v>
      </c>
      <c r="R305">
        <f t="shared" si="97"/>
        <v>2</v>
      </c>
      <c r="U305" s="33" t="str">
        <f t="shared" si="84"/>
        <v/>
      </c>
      <c r="AF305" s="4">
        <f t="shared" si="98"/>
        <v>0</v>
      </c>
      <c r="AL305" s="4">
        <f t="shared" si="99"/>
        <v>0</v>
      </c>
      <c r="BA305" s="4">
        <v>59.96</v>
      </c>
      <c r="BB305" s="4">
        <v>10</v>
      </c>
      <c r="BC305" s="4" t="s">
        <v>833</v>
      </c>
      <c r="BD305" s="4" t="s">
        <v>834</v>
      </c>
      <c r="BE305" s="4" t="s">
        <v>91</v>
      </c>
      <c r="BF305" s="4">
        <v>1.5</v>
      </c>
      <c r="BG305" s="4">
        <v>4</v>
      </c>
      <c r="BI305" s="4">
        <v>3</v>
      </c>
      <c r="BK305" s="4">
        <v>2</v>
      </c>
      <c r="BL305" s="4" t="s">
        <v>836</v>
      </c>
      <c r="BM305" s="4" t="s">
        <v>835</v>
      </c>
    </row>
    <row r="306" spans="4:68">
      <c r="D306" s="17" t="str">
        <f t="shared" si="93"/>
        <v>ErgänzungsfuttermittelKatzeAndere Supplemente</v>
      </c>
      <c r="E306" s="4" t="s">
        <v>91</v>
      </c>
      <c r="F306" s="19" t="s">
        <v>90</v>
      </c>
      <c r="G306" s="4" t="s">
        <v>93</v>
      </c>
      <c r="L306" s="4" t="s">
        <v>874</v>
      </c>
      <c r="M306">
        <f t="shared" si="94"/>
        <v>25</v>
      </c>
      <c r="N306">
        <f t="shared" si="95"/>
        <v>19.600000000000001</v>
      </c>
      <c r="P306">
        <f t="shared" si="96"/>
        <v>0.5</v>
      </c>
      <c r="R306">
        <f t="shared" si="97"/>
        <v>0.5</v>
      </c>
      <c r="U306" s="33" t="str">
        <f t="shared" si="84"/>
        <v/>
      </c>
      <c r="AF306" s="4">
        <f t="shared" si="98"/>
        <v>0</v>
      </c>
      <c r="AL306" s="4">
        <f t="shared" si="99"/>
        <v>0</v>
      </c>
      <c r="BA306" s="4">
        <v>320</v>
      </c>
      <c r="BB306" s="4">
        <v>0.4</v>
      </c>
      <c r="BC306" s="4" t="s">
        <v>874</v>
      </c>
      <c r="BD306" s="4" t="s">
        <v>854</v>
      </c>
      <c r="BE306" s="4" t="s">
        <v>91</v>
      </c>
      <c r="BF306" s="4">
        <v>25</v>
      </c>
      <c r="BG306" s="4">
        <v>19.600000000000001</v>
      </c>
      <c r="BI306" s="4">
        <v>0.5</v>
      </c>
      <c r="BK306" s="4">
        <v>0.5</v>
      </c>
      <c r="BL306" s="4" t="s">
        <v>876</v>
      </c>
      <c r="BM306" s="4" t="s">
        <v>875</v>
      </c>
    </row>
    <row r="307" spans="4:68">
      <c r="D307" s="17" t="str">
        <f t="shared" si="93"/>
        <v>ErgänzungsfuttermittelKatzeAndere Supplemente</v>
      </c>
      <c r="E307" s="4" t="s">
        <v>91</v>
      </c>
      <c r="F307" s="19" t="s">
        <v>90</v>
      </c>
      <c r="G307" s="4" t="s">
        <v>93</v>
      </c>
      <c r="L307" s="4" t="s">
        <v>911</v>
      </c>
      <c r="M307">
        <f t="shared" si="94"/>
        <v>0</v>
      </c>
      <c r="N307">
        <f t="shared" si="95"/>
        <v>0</v>
      </c>
      <c r="P307">
        <f t="shared" si="96"/>
        <v>0</v>
      </c>
      <c r="R307">
        <f t="shared" si="97"/>
        <v>0</v>
      </c>
      <c r="U307" s="33" t="str">
        <f t="shared" si="84"/>
        <v/>
      </c>
      <c r="AF307" s="4">
        <f t="shared" si="98"/>
        <v>0</v>
      </c>
      <c r="AL307" s="4">
        <f t="shared" si="99"/>
        <v>0</v>
      </c>
      <c r="BA307" s="4">
        <v>465.5</v>
      </c>
      <c r="BB307" s="4">
        <v>0.5</v>
      </c>
      <c r="BC307" s="4" t="s">
        <v>911</v>
      </c>
      <c r="BD307" s="4" t="s">
        <v>912</v>
      </c>
      <c r="BE307" s="4" t="s">
        <v>91</v>
      </c>
      <c r="BL307" s="4" t="s">
        <v>914</v>
      </c>
      <c r="BM307" s="4" t="s">
        <v>913</v>
      </c>
    </row>
    <row r="308" spans="4:68">
      <c r="D308" s="17" t="str">
        <f t="shared" si="93"/>
        <v>ErgänzungsfuttermittelKatzeAndere Supplemente</v>
      </c>
      <c r="E308" s="4" t="s">
        <v>91</v>
      </c>
      <c r="F308" s="19" t="s">
        <v>90</v>
      </c>
      <c r="G308" s="4" t="s">
        <v>93</v>
      </c>
      <c r="L308" s="4" t="s">
        <v>915</v>
      </c>
      <c r="M308">
        <f t="shared" si="94"/>
        <v>7.2</v>
      </c>
      <c r="N308">
        <f t="shared" si="95"/>
        <v>12.7</v>
      </c>
      <c r="P308">
        <f t="shared" si="96"/>
        <v>2.1</v>
      </c>
      <c r="R308">
        <f t="shared" si="97"/>
        <v>17.3</v>
      </c>
      <c r="U308" s="33" t="str">
        <f t="shared" si="84"/>
        <v/>
      </c>
      <c r="AF308" s="4">
        <f t="shared" si="98"/>
        <v>0</v>
      </c>
      <c r="AL308" s="4">
        <f t="shared" si="99"/>
        <v>0</v>
      </c>
      <c r="BA308" s="4">
        <v>465.5</v>
      </c>
      <c r="BB308" s="4">
        <v>0.5</v>
      </c>
      <c r="BC308" s="4" t="s">
        <v>915</v>
      </c>
      <c r="BD308" s="4" t="s">
        <v>912</v>
      </c>
      <c r="BE308" s="4" t="s">
        <v>91</v>
      </c>
      <c r="BF308" s="4">
        <v>7.2</v>
      </c>
      <c r="BG308" s="4">
        <v>12.7</v>
      </c>
      <c r="BI308" s="4">
        <v>2.1</v>
      </c>
      <c r="BK308" s="4">
        <v>17.3</v>
      </c>
      <c r="BL308" s="4" t="s">
        <v>917</v>
      </c>
      <c r="BM308" s="4" t="s">
        <v>916</v>
      </c>
    </row>
    <row r="309" spans="4:68">
      <c r="D309" s="17" t="str">
        <f t="shared" si="93"/>
        <v>ErgänzungsfuttermittelKatzeAndere Supplemente</v>
      </c>
      <c r="E309" s="4" t="s">
        <v>91</v>
      </c>
      <c r="F309" s="19" t="s">
        <v>90</v>
      </c>
      <c r="G309" s="4" t="s">
        <v>93</v>
      </c>
      <c r="L309" s="4" t="s">
        <v>918</v>
      </c>
      <c r="M309">
        <f t="shared" si="94"/>
        <v>0</v>
      </c>
      <c r="N309">
        <f t="shared" si="95"/>
        <v>0</v>
      </c>
      <c r="P309">
        <f t="shared" si="96"/>
        <v>0</v>
      </c>
      <c r="R309">
        <f t="shared" si="97"/>
        <v>0</v>
      </c>
      <c r="U309" s="33" t="str">
        <f t="shared" si="84"/>
        <v/>
      </c>
      <c r="AF309" s="4">
        <f t="shared" si="98"/>
        <v>0</v>
      </c>
      <c r="AL309" s="4">
        <f t="shared" si="99"/>
        <v>0</v>
      </c>
      <c r="BA309" s="4">
        <v>10.95</v>
      </c>
      <c r="BC309" s="4" t="s">
        <v>918</v>
      </c>
      <c r="BD309" s="4" t="s">
        <v>912</v>
      </c>
      <c r="BE309" s="4" t="s">
        <v>91</v>
      </c>
      <c r="BL309" s="4" t="s">
        <v>920</v>
      </c>
      <c r="BM309" s="4" t="s">
        <v>919</v>
      </c>
    </row>
    <row r="310" spans="4:68">
      <c r="D310" s="17" t="str">
        <f t="shared" si="93"/>
        <v>ErgänzungsfuttermittelKatzeAndere Supplemente</v>
      </c>
      <c r="E310" s="4" t="s">
        <v>91</v>
      </c>
      <c r="F310" s="19" t="s">
        <v>90</v>
      </c>
      <c r="G310" s="4" t="s">
        <v>93</v>
      </c>
      <c r="L310" s="4" t="s">
        <v>921</v>
      </c>
      <c r="M310">
        <f t="shared" si="94"/>
        <v>0</v>
      </c>
      <c r="N310">
        <f t="shared" si="95"/>
        <v>0</v>
      </c>
      <c r="P310">
        <f t="shared" si="96"/>
        <v>0</v>
      </c>
      <c r="R310">
        <f t="shared" si="97"/>
        <v>0</v>
      </c>
      <c r="U310" s="33" t="str">
        <f t="shared" si="84"/>
        <v/>
      </c>
      <c r="AF310" s="4">
        <f t="shared" si="98"/>
        <v>0</v>
      </c>
      <c r="AL310" s="4">
        <f t="shared" si="99"/>
        <v>0</v>
      </c>
      <c r="BA310" s="4">
        <v>554.4</v>
      </c>
      <c r="BB310" s="4">
        <v>0.5</v>
      </c>
      <c r="BC310" s="4" t="s">
        <v>921</v>
      </c>
      <c r="BD310" s="4" t="s">
        <v>912</v>
      </c>
      <c r="BE310" s="4" t="s">
        <v>91</v>
      </c>
      <c r="BL310" s="4" t="s">
        <v>923</v>
      </c>
      <c r="BM310" s="4" t="s">
        <v>922</v>
      </c>
    </row>
    <row r="311" spans="4:68">
      <c r="D311" s="17" t="str">
        <f t="shared" si="93"/>
        <v>ErgänzungsfuttermittelKatzeAndere Supplemente</v>
      </c>
      <c r="E311" s="4" t="s">
        <v>91</v>
      </c>
      <c r="F311" s="19" t="s">
        <v>90</v>
      </c>
      <c r="G311" s="4" t="s">
        <v>93</v>
      </c>
      <c r="L311" s="4" t="s">
        <v>924</v>
      </c>
      <c r="M311">
        <f t="shared" si="94"/>
        <v>0</v>
      </c>
      <c r="N311">
        <f t="shared" si="95"/>
        <v>0</v>
      </c>
      <c r="P311">
        <f t="shared" si="96"/>
        <v>0</v>
      </c>
      <c r="R311">
        <f t="shared" si="97"/>
        <v>0</v>
      </c>
      <c r="U311" s="33" t="str">
        <f t="shared" si="84"/>
        <v/>
      </c>
      <c r="AF311" s="4">
        <f t="shared" si="98"/>
        <v>0</v>
      </c>
      <c r="AL311" s="4">
        <f t="shared" si="99"/>
        <v>0</v>
      </c>
      <c r="BA311" s="4">
        <v>465.5</v>
      </c>
      <c r="BB311" s="4">
        <v>0.5</v>
      </c>
      <c r="BC311" s="4" t="s">
        <v>924</v>
      </c>
      <c r="BD311" s="4" t="s">
        <v>912</v>
      </c>
      <c r="BE311" s="4" t="s">
        <v>91</v>
      </c>
      <c r="BL311" s="4" t="s">
        <v>926</v>
      </c>
      <c r="BM311" s="4" t="s">
        <v>925</v>
      </c>
    </row>
    <row r="312" spans="4:68">
      <c r="D312" s="17" t="str">
        <f t="shared" si="93"/>
        <v>ErgänzungsfuttermittelKatzeAndere Supplemente</v>
      </c>
      <c r="E312" s="4" t="s">
        <v>91</v>
      </c>
      <c r="F312" s="19" t="s">
        <v>90</v>
      </c>
      <c r="G312" s="4" t="s">
        <v>93</v>
      </c>
      <c r="L312" s="4" t="s">
        <v>927</v>
      </c>
      <c r="M312">
        <f t="shared" si="94"/>
        <v>0</v>
      </c>
      <c r="N312">
        <f t="shared" si="95"/>
        <v>0</v>
      </c>
      <c r="P312">
        <f t="shared" si="96"/>
        <v>0</v>
      </c>
      <c r="R312">
        <f t="shared" si="97"/>
        <v>0</v>
      </c>
      <c r="U312" s="33" t="str">
        <f t="shared" si="84"/>
        <v/>
      </c>
      <c r="AF312" s="4">
        <f t="shared" si="98"/>
        <v>0</v>
      </c>
      <c r="AL312" s="4">
        <f t="shared" si="99"/>
        <v>0</v>
      </c>
      <c r="BA312" s="4">
        <v>465.5</v>
      </c>
      <c r="BB312" s="4">
        <v>0.5</v>
      </c>
      <c r="BC312" s="4" t="s">
        <v>927</v>
      </c>
      <c r="BD312" s="4" t="s">
        <v>912</v>
      </c>
      <c r="BE312" s="4" t="s">
        <v>91</v>
      </c>
      <c r="BL312" s="4" t="s">
        <v>929</v>
      </c>
      <c r="BM312" s="4" t="s">
        <v>928</v>
      </c>
    </row>
    <row r="313" spans="4:68">
      <c r="D313" s="17" t="str">
        <f t="shared" si="93"/>
        <v>ErgänzungsfuttermittelKatzeAndere Supplemente</v>
      </c>
      <c r="E313" s="4" t="s">
        <v>91</v>
      </c>
      <c r="F313" s="19" t="s">
        <v>90</v>
      </c>
      <c r="G313" s="4" t="s">
        <v>93</v>
      </c>
      <c r="L313" s="4" t="s">
        <v>954</v>
      </c>
      <c r="M313">
        <f t="shared" si="94"/>
        <v>0.4</v>
      </c>
      <c r="N313">
        <f t="shared" si="95"/>
        <v>0.3</v>
      </c>
      <c r="P313">
        <f t="shared" si="96"/>
        <v>0.2</v>
      </c>
      <c r="R313">
        <f t="shared" si="97"/>
        <v>0.5</v>
      </c>
      <c r="U313" s="33" t="str">
        <f t="shared" si="84"/>
        <v/>
      </c>
      <c r="X313" s="4">
        <v>20</v>
      </c>
      <c r="AF313" s="4">
        <f t="shared" si="98"/>
        <v>0</v>
      </c>
      <c r="AL313" s="4">
        <f t="shared" si="99"/>
        <v>0</v>
      </c>
      <c r="BA313" s="4">
        <v>179.5</v>
      </c>
      <c r="BB313" s="4">
        <v>1</v>
      </c>
      <c r="BC313" s="4" t="s">
        <v>955</v>
      </c>
      <c r="BD313" s="4" t="s">
        <v>956</v>
      </c>
      <c r="BE313" s="4" t="s">
        <v>91</v>
      </c>
      <c r="BF313" s="4">
        <v>0.4</v>
      </c>
      <c r="BG313" s="4">
        <v>0.3</v>
      </c>
      <c r="BI313" s="4">
        <v>0.2</v>
      </c>
      <c r="BK313" s="4">
        <v>0.5</v>
      </c>
      <c r="BL313" s="4" t="s">
        <v>958</v>
      </c>
      <c r="BM313" s="4" t="s">
        <v>957</v>
      </c>
    </row>
    <row r="314" spans="4:68">
      <c r="D314" s="17" t="str">
        <f t="shared" si="93"/>
        <v>ErgänzungsfuttermittelKatzeAndere Supplemente</v>
      </c>
      <c r="E314" s="4" t="s">
        <v>91</v>
      </c>
      <c r="F314" s="19" t="s">
        <v>90</v>
      </c>
      <c r="G314" s="4" t="s">
        <v>93</v>
      </c>
      <c r="L314" s="4" t="s">
        <v>1004</v>
      </c>
      <c r="M314">
        <f t="shared" si="94"/>
        <v>1.8</v>
      </c>
      <c r="N314">
        <f t="shared" si="95"/>
        <v>40.4</v>
      </c>
      <c r="P314">
        <f t="shared" si="96"/>
        <v>2.1</v>
      </c>
      <c r="R314">
        <f t="shared" si="97"/>
        <v>15.2</v>
      </c>
      <c r="U314" s="33" t="str">
        <f t="shared" si="84"/>
        <v/>
      </c>
      <c r="AF314" s="4">
        <f t="shared" si="98"/>
        <v>0</v>
      </c>
      <c r="AL314" s="4">
        <f t="shared" si="99"/>
        <v>0</v>
      </c>
      <c r="BA314" s="4">
        <v>129.5</v>
      </c>
      <c r="BB314" s="4">
        <v>1</v>
      </c>
      <c r="BC314" s="4" t="s">
        <v>1005</v>
      </c>
      <c r="BD314" s="4" t="s">
        <v>997</v>
      </c>
      <c r="BE314" s="4" t="s">
        <v>91</v>
      </c>
      <c r="BF314" s="4">
        <v>1.8</v>
      </c>
      <c r="BG314" s="4">
        <v>40.4</v>
      </c>
      <c r="BI314" s="4">
        <v>2.1</v>
      </c>
      <c r="BK314" s="4">
        <v>15.2</v>
      </c>
      <c r="BL314" s="4" t="s">
        <v>1007</v>
      </c>
      <c r="BM314" s="4" t="s">
        <v>1006</v>
      </c>
    </row>
    <row r="315" spans="4:68">
      <c r="D315" s="17" t="str">
        <f t="shared" si="93"/>
        <v>ErgänzungsfuttermittelKatzeAndere Supplemente</v>
      </c>
      <c r="E315" s="4" t="s">
        <v>91</v>
      </c>
      <c r="F315" s="19" t="s">
        <v>90</v>
      </c>
      <c r="G315" s="4" t="s">
        <v>93</v>
      </c>
      <c r="L315" s="4" t="s">
        <v>1041</v>
      </c>
      <c r="M315">
        <f t="shared" si="94"/>
        <v>1.4</v>
      </c>
      <c r="N315">
        <f t="shared" si="95"/>
        <v>0</v>
      </c>
      <c r="P315">
        <f t="shared" si="96"/>
        <v>65.599999999999994</v>
      </c>
      <c r="R315">
        <f t="shared" si="97"/>
        <v>0</v>
      </c>
      <c r="U315" s="33" t="str">
        <f t="shared" si="84"/>
        <v/>
      </c>
      <c r="AF315" s="4">
        <f t="shared" si="98"/>
        <v>0</v>
      </c>
      <c r="AL315" s="4">
        <f t="shared" si="99"/>
        <v>0</v>
      </c>
      <c r="BA315" s="4">
        <v>62.9</v>
      </c>
      <c r="BB315" s="4">
        <v>1.5</v>
      </c>
      <c r="BC315" s="4" t="s">
        <v>1041</v>
      </c>
      <c r="BD315" s="4" t="s">
        <v>997</v>
      </c>
      <c r="BE315" s="4" t="s">
        <v>91</v>
      </c>
      <c r="BF315" s="4">
        <v>1.4</v>
      </c>
      <c r="BG315" s="4">
        <v>0</v>
      </c>
      <c r="BI315" s="4">
        <v>65.599999999999994</v>
      </c>
      <c r="BK315" s="4">
        <v>0</v>
      </c>
      <c r="BL315" s="4" t="s">
        <v>1043</v>
      </c>
      <c r="BM315" s="4" t="s">
        <v>1042</v>
      </c>
    </row>
    <row r="316" spans="4:68">
      <c r="D316" s="17" t="str">
        <f t="shared" si="93"/>
        <v>ErgänzungsfuttermittelKatzeAndere Supplemente</v>
      </c>
      <c r="E316" s="4" t="s">
        <v>91</v>
      </c>
      <c r="F316" s="19" t="s">
        <v>90</v>
      </c>
      <c r="G316" s="4" t="s">
        <v>93</v>
      </c>
      <c r="L316" s="4" t="s">
        <v>1074</v>
      </c>
      <c r="M316">
        <f t="shared" si="94"/>
        <v>4.7</v>
      </c>
      <c r="N316">
        <f t="shared" si="95"/>
        <v>7.6</v>
      </c>
      <c r="P316">
        <f t="shared" si="96"/>
        <v>77.900000000000006</v>
      </c>
      <c r="Q316"/>
      <c r="R316">
        <f t="shared" si="97"/>
        <v>0.33</v>
      </c>
      <c r="U316" s="33" t="str">
        <f t="shared" si="84"/>
        <v/>
      </c>
      <c r="AF316" s="4">
        <f t="shared" si="98"/>
        <v>0</v>
      </c>
      <c r="AL316" s="4">
        <f t="shared" si="99"/>
        <v>0</v>
      </c>
      <c r="BA316" s="4">
        <v>575.5</v>
      </c>
      <c r="BC316" s="4" t="s">
        <v>95</v>
      </c>
      <c r="BD316" s="4" t="s">
        <v>96</v>
      </c>
      <c r="BE316" s="4" t="s">
        <v>131</v>
      </c>
      <c r="BF316" s="4">
        <v>4.7</v>
      </c>
      <c r="BG316" s="4">
        <v>7.6</v>
      </c>
      <c r="BI316" s="4">
        <v>77.900000000000006</v>
      </c>
      <c r="BK316" s="4">
        <v>0.33</v>
      </c>
      <c r="BL316" s="4" t="s">
        <v>98</v>
      </c>
      <c r="BM316" s="4" t="s">
        <v>97</v>
      </c>
      <c r="BO316" s="4" t="s">
        <v>129</v>
      </c>
      <c r="BP316" s="4">
        <v>0.3</v>
      </c>
    </row>
    <row r="317" spans="4:68">
      <c r="D317" s="17" t="str">
        <f t="shared" si="93"/>
        <v>ErgänzungsfuttermittelKatzeAndere Supplemente</v>
      </c>
      <c r="E317" s="4" t="s">
        <v>91</v>
      </c>
      <c r="F317" s="19" t="s">
        <v>90</v>
      </c>
      <c r="G317" s="4" t="s">
        <v>93</v>
      </c>
      <c r="L317" s="4" t="s">
        <v>1075</v>
      </c>
      <c r="M317">
        <f t="shared" si="94"/>
        <v>0.2</v>
      </c>
      <c r="N317">
        <f t="shared" si="95"/>
        <v>0.3</v>
      </c>
      <c r="P317">
        <f t="shared" si="96"/>
        <v>0</v>
      </c>
      <c r="Q317"/>
      <c r="R317">
        <v>0</v>
      </c>
      <c r="U317" s="33" t="str">
        <f t="shared" si="84"/>
        <v/>
      </c>
      <c r="AF317" s="4">
        <f t="shared" si="98"/>
        <v>0</v>
      </c>
      <c r="AL317" s="4">
        <f t="shared" si="99"/>
        <v>0</v>
      </c>
      <c r="BA317" s="4">
        <v>276.8</v>
      </c>
      <c r="BC317" s="4" t="s">
        <v>99</v>
      </c>
      <c r="BD317" s="4" t="s">
        <v>100</v>
      </c>
      <c r="BE317" s="4" t="s">
        <v>131</v>
      </c>
      <c r="BF317" s="4">
        <v>0.2</v>
      </c>
      <c r="BG317" s="4">
        <v>0.3</v>
      </c>
      <c r="BI317" s="4">
        <v>0</v>
      </c>
      <c r="BK317" s="4">
        <v>0</v>
      </c>
      <c r="BL317" s="4" t="s">
        <v>101</v>
      </c>
      <c r="BM317" s="4" t="s">
        <v>102</v>
      </c>
      <c r="BN317" s="4" t="s">
        <v>103</v>
      </c>
      <c r="BO317" s="4" t="s">
        <v>130</v>
      </c>
      <c r="BP317" s="4">
        <v>2.5000000000000001E-2</v>
      </c>
    </row>
    <row r="318" spans="4:68">
      <c r="D318" s="17" t="str">
        <f t="shared" si="93"/>
        <v>ErgänzungsfuttermittelKatzeAndere Supplemente</v>
      </c>
      <c r="E318" s="4" t="s">
        <v>91</v>
      </c>
      <c r="F318" s="19" t="s">
        <v>90</v>
      </c>
      <c r="G318" s="4" t="s">
        <v>93</v>
      </c>
      <c r="L318" s="4" t="s">
        <v>159</v>
      </c>
      <c r="M318">
        <f t="shared" si="94"/>
        <v>4.5</v>
      </c>
      <c r="N318">
        <f t="shared" si="95"/>
        <v>5.5</v>
      </c>
      <c r="P318">
        <f t="shared" si="96"/>
        <v>34</v>
      </c>
      <c r="Q318"/>
      <c r="R318">
        <f>BK318</f>
        <v>1.5</v>
      </c>
      <c r="U318" s="33" t="str">
        <f t="shared" si="84"/>
        <v/>
      </c>
      <c r="AF318" s="4">
        <f t="shared" si="98"/>
        <v>0</v>
      </c>
      <c r="AL318" s="4">
        <f t="shared" si="99"/>
        <v>0</v>
      </c>
      <c r="BA318" s="4">
        <v>171.82</v>
      </c>
      <c r="BB318" s="4">
        <v>3</v>
      </c>
      <c r="BC318" s="4" t="s">
        <v>159</v>
      </c>
      <c r="BD318" s="4" t="s">
        <v>105</v>
      </c>
      <c r="BE318" s="4" t="s">
        <v>158</v>
      </c>
      <c r="BF318" s="4">
        <v>4.5</v>
      </c>
      <c r="BG318" s="4">
        <v>5.5</v>
      </c>
      <c r="BI318" s="4">
        <v>34</v>
      </c>
      <c r="BK318" s="4">
        <v>1.5</v>
      </c>
      <c r="BL318" s="4" t="s">
        <v>160</v>
      </c>
      <c r="BM318" s="4" t="s">
        <v>161</v>
      </c>
    </row>
    <row r="319" spans="4:68">
      <c r="D319" s="17" t="str">
        <f t="shared" si="93"/>
        <v>ErgänzungsfuttermittelKatzeAndere Supplemente</v>
      </c>
      <c r="E319" s="4" t="s">
        <v>91</v>
      </c>
      <c r="F319" s="19" t="s">
        <v>90</v>
      </c>
      <c r="G319" s="4" t="s">
        <v>93</v>
      </c>
      <c r="L319" s="4" t="s">
        <v>1093</v>
      </c>
      <c r="M319">
        <f t="shared" si="94"/>
        <v>4.5999999999999996</v>
      </c>
      <c r="N319">
        <f t="shared" si="95"/>
        <v>8.3000000000000007</v>
      </c>
      <c r="P319">
        <f t="shared" si="96"/>
        <v>2.1</v>
      </c>
      <c r="R319">
        <f>BK319</f>
        <v>6.2</v>
      </c>
      <c r="U319" s="33" t="str">
        <f t="shared" si="84"/>
        <v/>
      </c>
      <c r="AF319" s="4">
        <f t="shared" si="98"/>
        <v>0</v>
      </c>
      <c r="AL319" s="4">
        <f t="shared" si="99"/>
        <v>0</v>
      </c>
      <c r="BA319" s="4">
        <v>27.8</v>
      </c>
      <c r="BC319" s="4" t="s">
        <v>1096</v>
      </c>
      <c r="BD319" s="4" t="s">
        <v>1095</v>
      </c>
      <c r="BE319" s="4" t="s">
        <v>91</v>
      </c>
      <c r="BF319" s="4">
        <v>4.5999999999999996</v>
      </c>
      <c r="BG319" s="4">
        <v>8.3000000000000007</v>
      </c>
      <c r="BI319" s="4">
        <v>2.1</v>
      </c>
      <c r="BK319" s="4">
        <v>6.2</v>
      </c>
      <c r="BL319" s="4" t="s">
        <v>1097</v>
      </c>
      <c r="BM319" s="4" t="s">
        <v>1094</v>
      </c>
    </row>
    <row r="320" spans="4:68">
      <c r="D320" s="17" t="str">
        <f t="shared" si="93"/>
        <v>ErgänzungsfuttermittelKatzeAndere Supplemente</v>
      </c>
      <c r="E320" s="4" t="s">
        <v>91</v>
      </c>
      <c r="F320" s="19" t="s">
        <v>90</v>
      </c>
      <c r="G320" s="4" t="s">
        <v>93</v>
      </c>
      <c r="L320" s="4" t="s">
        <v>1100</v>
      </c>
      <c r="M320">
        <f t="shared" si="94"/>
        <v>0.7</v>
      </c>
      <c r="N320">
        <f t="shared" si="95"/>
        <v>0.9</v>
      </c>
      <c r="P320">
        <f t="shared" si="96"/>
        <v>2.6</v>
      </c>
      <c r="R320">
        <v>1</v>
      </c>
      <c r="U320" s="33" t="str">
        <f t="shared" si="84"/>
        <v/>
      </c>
      <c r="AF320" s="4">
        <f t="shared" si="98"/>
        <v>0</v>
      </c>
      <c r="AL320" s="4">
        <f t="shared" si="99"/>
        <v>0</v>
      </c>
      <c r="BA320" s="4">
        <v>214</v>
      </c>
      <c r="BB320" s="4">
        <v>2</v>
      </c>
      <c r="BC320" s="4" t="s">
        <v>1100</v>
      </c>
      <c r="BD320" s="4" t="s">
        <v>1077</v>
      </c>
      <c r="BE320" s="4" t="s">
        <v>91</v>
      </c>
      <c r="BF320" s="4">
        <v>0.7</v>
      </c>
      <c r="BG320" s="4">
        <v>0.9</v>
      </c>
      <c r="BI320" s="4">
        <v>2.6</v>
      </c>
      <c r="BK320" s="4">
        <v>1.1000000000000001</v>
      </c>
      <c r="BL320" s="4" t="s">
        <v>1102</v>
      </c>
      <c r="BM320" s="4" t="s">
        <v>1101</v>
      </c>
    </row>
    <row r="321" spans="4:65">
      <c r="D321" s="17" t="str">
        <f t="shared" si="93"/>
        <v>ErgänzungsfuttermittelKatzeAndere Supplemente</v>
      </c>
      <c r="E321" s="4" t="s">
        <v>91</v>
      </c>
      <c r="F321" s="19" t="s">
        <v>90</v>
      </c>
      <c r="G321" s="4" t="s">
        <v>93</v>
      </c>
      <c r="L321" s="4" t="s">
        <v>1103</v>
      </c>
      <c r="M321">
        <f t="shared" si="94"/>
        <v>0.7</v>
      </c>
      <c r="N321">
        <f t="shared" si="95"/>
        <v>0.9</v>
      </c>
      <c r="P321">
        <f t="shared" si="96"/>
        <v>2.6</v>
      </c>
      <c r="R321">
        <f>BK321</f>
        <v>1.1000000000000001</v>
      </c>
      <c r="U321" s="33" t="str">
        <f t="shared" si="84"/>
        <v/>
      </c>
      <c r="AF321" s="4">
        <f t="shared" si="98"/>
        <v>0</v>
      </c>
      <c r="AL321" s="4">
        <f t="shared" si="99"/>
        <v>0</v>
      </c>
      <c r="BA321" s="4">
        <v>214</v>
      </c>
      <c r="BB321" s="4">
        <v>2</v>
      </c>
      <c r="BC321" s="4" t="s">
        <v>1103</v>
      </c>
      <c r="BD321" s="4" t="s">
        <v>1077</v>
      </c>
      <c r="BE321" s="4" t="s">
        <v>91</v>
      </c>
      <c r="BF321" s="4">
        <v>0.7</v>
      </c>
      <c r="BG321" s="4">
        <v>0.9</v>
      </c>
      <c r="BI321" s="4">
        <v>2.6</v>
      </c>
      <c r="BK321" s="4">
        <v>1.1000000000000001</v>
      </c>
      <c r="BL321" s="4" t="s">
        <v>1105</v>
      </c>
      <c r="BM321" s="4" t="s">
        <v>1104</v>
      </c>
    </row>
    <row r="322" spans="4:65">
      <c r="D322" s="17" t="str">
        <f t="shared" si="93"/>
        <v>ErgänzungsfuttermittelKatzeAndere Supplemente</v>
      </c>
      <c r="E322" s="4" t="s">
        <v>91</v>
      </c>
      <c r="F322" s="19" t="s">
        <v>90</v>
      </c>
      <c r="G322" s="4" t="s">
        <v>93</v>
      </c>
      <c r="L322" s="4" t="s">
        <v>1106</v>
      </c>
      <c r="M322">
        <f t="shared" si="94"/>
        <v>0.7</v>
      </c>
      <c r="N322">
        <f t="shared" si="95"/>
        <v>0.9</v>
      </c>
      <c r="P322">
        <f t="shared" si="96"/>
        <v>2.6</v>
      </c>
      <c r="R322">
        <f>BK322</f>
        <v>1.1000000000000001</v>
      </c>
      <c r="U322" s="33" t="str">
        <f t="shared" si="84"/>
        <v/>
      </c>
      <c r="AF322" s="4">
        <f t="shared" si="98"/>
        <v>0</v>
      </c>
      <c r="AL322" s="4">
        <f t="shared" si="99"/>
        <v>0</v>
      </c>
      <c r="BA322" s="4">
        <v>214</v>
      </c>
      <c r="BB322" s="4">
        <v>2</v>
      </c>
      <c r="BC322" s="4" t="s">
        <v>1108</v>
      </c>
      <c r="BD322" s="4" t="s">
        <v>1077</v>
      </c>
      <c r="BE322" s="4" t="s">
        <v>91</v>
      </c>
      <c r="BF322" s="4">
        <v>0.7</v>
      </c>
      <c r="BG322" s="4">
        <v>0.9</v>
      </c>
      <c r="BI322" s="4">
        <v>2.6</v>
      </c>
      <c r="BK322" s="4">
        <v>1.1000000000000001</v>
      </c>
      <c r="BL322" s="4" t="s">
        <v>1109</v>
      </c>
      <c r="BM322" s="4" t="s">
        <v>1107</v>
      </c>
    </row>
    <row r="323" spans="4:65">
      <c r="D323" s="17" t="str">
        <f t="shared" si="93"/>
        <v>ErgänzungsfuttermittelKatzeAndere Supplemente</v>
      </c>
      <c r="E323" s="4" t="s">
        <v>91</v>
      </c>
      <c r="F323" s="19" t="s">
        <v>90</v>
      </c>
      <c r="G323" s="4" t="s">
        <v>93</v>
      </c>
      <c r="L323" s="4" t="s">
        <v>1124</v>
      </c>
      <c r="M323">
        <f t="shared" si="94"/>
        <v>0.7</v>
      </c>
      <c r="N323">
        <f t="shared" si="95"/>
        <v>0.9</v>
      </c>
      <c r="P323">
        <f t="shared" si="96"/>
        <v>2.5</v>
      </c>
      <c r="R323">
        <f>BK323</f>
        <v>0.9</v>
      </c>
      <c r="U323" s="33" t="str">
        <f t="shared" si="84"/>
        <v/>
      </c>
      <c r="AF323" s="4">
        <f t="shared" si="98"/>
        <v>0</v>
      </c>
      <c r="AL323" s="4">
        <f t="shared" si="99"/>
        <v>0</v>
      </c>
      <c r="BA323" s="4">
        <v>219</v>
      </c>
      <c r="BB323" s="4">
        <v>2</v>
      </c>
      <c r="BC323" s="4" t="s">
        <v>1124</v>
      </c>
      <c r="BD323" s="4" t="s">
        <v>1077</v>
      </c>
      <c r="BE323" s="4" t="s">
        <v>91</v>
      </c>
      <c r="BF323" s="4">
        <v>0.7</v>
      </c>
      <c r="BG323" s="4">
        <v>0.9</v>
      </c>
      <c r="BI323" s="4">
        <v>2.5</v>
      </c>
      <c r="BK323" s="4">
        <v>0.9</v>
      </c>
      <c r="BL323" s="4" t="s">
        <v>1126</v>
      </c>
      <c r="BM323" s="4" t="s">
        <v>1125</v>
      </c>
    </row>
    <row r="324" spans="4:65">
      <c r="D324" s="17" t="str">
        <f t="shared" si="93"/>
        <v>ErgänzungsfuttermittelKatzeAndere Supplemente</v>
      </c>
      <c r="E324" s="4" t="s">
        <v>91</v>
      </c>
      <c r="F324" s="19" t="s">
        <v>90</v>
      </c>
      <c r="G324" s="4" t="s">
        <v>93</v>
      </c>
      <c r="L324" s="4" t="s">
        <v>1127</v>
      </c>
      <c r="M324">
        <f t="shared" si="94"/>
        <v>1.6</v>
      </c>
      <c r="N324">
        <f t="shared" si="95"/>
        <v>4.5999999999999996</v>
      </c>
      <c r="P324">
        <f t="shared" si="96"/>
        <v>0.8</v>
      </c>
      <c r="R324">
        <v>2</v>
      </c>
      <c r="U324" s="33" t="str">
        <f t="shared" si="84"/>
        <v/>
      </c>
      <c r="AF324" s="4">
        <f t="shared" si="98"/>
        <v>0</v>
      </c>
      <c r="AL324" s="4">
        <f t="shared" si="99"/>
        <v>0</v>
      </c>
      <c r="BA324" s="4">
        <v>71.599999999999994</v>
      </c>
      <c r="BB324" s="4">
        <v>1</v>
      </c>
      <c r="BC324" s="4" t="s">
        <v>1128</v>
      </c>
      <c r="BD324" s="4" t="s">
        <v>1077</v>
      </c>
      <c r="BE324" s="4" t="s">
        <v>91</v>
      </c>
      <c r="BF324" s="4">
        <v>1.6</v>
      </c>
      <c r="BG324" s="4">
        <v>4.5999999999999996</v>
      </c>
      <c r="BI324" s="4">
        <v>0.8</v>
      </c>
      <c r="BK324" s="4">
        <v>1.5</v>
      </c>
      <c r="BL324" s="4" t="s">
        <v>1130</v>
      </c>
      <c r="BM324" s="4" t="s">
        <v>1129</v>
      </c>
    </row>
    <row r="325" spans="4:65">
      <c r="D325" s="17" t="str">
        <f t="shared" si="93"/>
        <v>ErgänzungsfuttermittelKatzeAndere Supplemente</v>
      </c>
      <c r="E325" s="4" t="s">
        <v>91</v>
      </c>
      <c r="F325" s="19" t="s">
        <v>90</v>
      </c>
      <c r="G325" s="4" t="s">
        <v>93</v>
      </c>
      <c r="L325" s="4" t="s">
        <v>1134</v>
      </c>
      <c r="M325">
        <f t="shared" si="94"/>
        <v>7.5</v>
      </c>
      <c r="N325">
        <f t="shared" si="95"/>
        <v>25.6</v>
      </c>
      <c r="P325">
        <f t="shared" si="96"/>
        <v>3.6</v>
      </c>
      <c r="R325">
        <f>BK325</f>
        <v>17.399999999999999</v>
      </c>
      <c r="U325" s="33" t="str">
        <f t="shared" ref="U325:U388" si="100">IF(S325="","",S325/T325)</f>
        <v/>
      </c>
      <c r="AF325" s="4">
        <f t="shared" si="98"/>
        <v>0</v>
      </c>
      <c r="AL325" s="4">
        <f t="shared" si="99"/>
        <v>0</v>
      </c>
      <c r="BA325" s="4">
        <v>72.599999999999994</v>
      </c>
      <c r="BB325" s="4">
        <v>2.5</v>
      </c>
      <c r="BC325" s="4" t="s">
        <v>1135</v>
      </c>
      <c r="BD325" s="4" t="s">
        <v>1077</v>
      </c>
      <c r="BE325" s="4" t="s">
        <v>91</v>
      </c>
      <c r="BF325" s="4">
        <v>7.5</v>
      </c>
      <c r="BG325" s="4">
        <v>25.6</v>
      </c>
      <c r="BI325" s="4">
        <v>3.6</v>
      </c>
      <c r="BK325" s="4">
        <v>17.399999999999999</v>
      </c>
      <c r="BL325" s="4" t="s">
        <v>1137</v>
      </c>
      <c r="BM325" s="4" t="s">
        <v>1136</v>
      </c>
    </row>
    <row r="326" spans="4:65">
      <c r="D326" s="17" t="str">
        <f t="shared" si="93"/>
        <v>ErgänzungsfuttermittelKatzeAndere Supplemente</v>
      </c>
      <c r="E326" s="4" t="s">
        <v>91</v>
      </c>
      <c r="F326" s="19" t="s">
        <v>90</v>
      </c>
      <c r="G326" s="4" t="s">
        <v>93</v>
      </c>
      <c r="L326" s="4" t="s">
        <v>1142</v>
      </c>
      <c r="M326">
        <f t="shared" si="94"/>
        <v>17.100000000000001</v>
      </c>
      <c r="N326">
        <f t="shared" si="95"/>
        <v>30.7</v>
      </c>
      <c r="P326">
        <f t="shared" si="96"/>
        <v>8.8000000000000007</v>
      </c>
      <c r="R326">
        <f>BK326</f>
        <v>7</v>
      </c>
      <c r="U326" s="33" t="str">
        <f t="shared" si="100"/>
        <v/>
      </c>
      <c r="AF326" s="4">
        <f t="shared" si="98"/>
        <v>0</v>
      </c>
      <c r="AL326" s="4">
        <f t="shared" si="99"/>
        <v>0</v>
      </c>
      <c r="BA326" s="4">
        <v>168.89</v>
      </c>
      <c r="BB326" s="4">
        <v>1.5</v>
      </c>
      <c r="BC326" s="4" t="s">
        <v>1142</v>
      </c>
      <c r="BD326" s="4" t="s">
        <v>1143</v>
      </c>
      <c r="BE326" s="4" t="s">
        <v>91</v>
      </c>
      <c r="BF326" s="4">
        <v>17.100000000000001</v>
      </c>
      <c r="BG326" s="4">
        <v>30.7</v>
      </c>
      <c r="BI326" s="4">
        <v>8.8000000000000007</v>
      </c>
      <c r="BK326" s="4">
        <v>7</v>
      </c>
      <c r="BL326" s="4" t="s">
        <v>1145</v>
      </c>
      <c r="BM326" s="4" t="s">
        <v>1144</v>
      </c>
    </row>
    <row r="327" spans="4:65">
      <c r="D327" s="17" t="str">
        <f t="shared" si="93"/>
        <v>ErgänzungsfuttermittelKatzeAndere Supplemente</v>
      </c>
      <c r="E327" s="4" t="s">
        <v>91</v>
      </c>
      <c r="F327" s="19" t="s">
        <v>90</v>
      </c>
      <c r="G327" s="4" t="s">
        <v>93</v>
      </c>
      <c r="L327" s="4" t="s">
        <v>1146</v>
      </c>
      <c r="M327">
        <f t="shared" si="94"/>
        <v>0</v>
      </c>
      <c r="N327">
        <f t="shared" si="95"/>
        <v>0</v>
      </c>
      <c r="P327">
        <f t="shared" si="96"/>
        <v>0</v>
      </c>
      <c r="R327">
        <v>3</v>
      </c>
      <c r="U327" s="33" t="str">
        <f t="shared" si="100"/>
        <v/>
      </c>
      <c r="AF327" s="4">
        <f t="shared" si="98"/>
        <v>0</v>
      </c>
      <c r="AL327" s="4">
        <f t="shared" si="99"/>
        <v>0</v>
      </c>
      <c r="BA327" s="4">
        <v>320.83999999999997</v>
      </c>
      <c r="BC327" s="4" t="s">
        <v>1146</v>
      </c>
      <c r="BD327" s="4" t="s">
        <v>1143</v>
      </c>
      <c r="BE327" s="4" t="s">
        <v>91</v>
      </c>
      <c r="BL327" s="4" t="s">
        <v>1148</v>
      </c>
      <c r="BM327" s="4" t="s">
        <v>1147</v>
      </c>
    </row>
    <row r="328" spans="4:65">
      <c r="D328" s="17" t="str">
        <f t="shared" si="93"/>
        <v>ErgänzungsfuttermittelKatzeAndere Supplemente</v>
      </c>
      <c r="E328" s="4" t="s">
        <v>91</v>
      </c>
      <c r="F328" s="19" t="s">
        <v>90</v>
      </c>
      <c r="G328" s="4" t="s">
        <v>93</v>
      </c>
      <c r="L328" s="4" t="s">
        <v>1153</v>
      </c>
      <c r="M328">
        <f t="shared" si="94"/>
        <v>7.56</v>
      </c>
      <c r="N328">
        <f t="shared" si="95"/>
        <v>1.83</v>
      </c>
      <c r="P328">
        <f t="shared" si="96"/>
        <v>1.9</v>
      </c>
      <c r="R328">
        <f>BK328</f>
        <v>1.38</v>
      </c>
      <c r="U328" s="33" t="str">
        <f t="shared" si="100"/>
        <v/>
      </c>
      <c r="AF328" s="4">
        <f t="shared" si="98"/>
        <v>0</v>
      </c>
      <c r="AL328" s="4">
        <f t="shared" si="99"/>
        <v>0</v>
      </c>
      <c r="BA328" s="4">
        <v>165.01</v>
      </c>
      <c r="BB328" s="4">
        <v>3</v>
      </c>
      <c r="BC328" s="4" t="s">
        <v>1153</v>
      </c>
      <c r="BD328" s="4" t="s">
        <v>1150</v>
      </c>
      <c r="BE328" s="4" t="s">
        <v>91</v>
      </c>
      <c r="BF328" s="4">
        <v>7.56</v>
      </c>
      <c r="BG328" s="4">
        <v>1.83</v>
      </c>
      <c r="BI328" s="4">
        <v>1.9</v>
      </c>
      <c r="BK328" s="4">
        <v>1.38</v>
      </c>
      <c r="BL328" s="4" t="s">
        <v>1155</v>
      </c>
      <c r="BM328" s="4" t="s">
        <v>1154</v>
      </c>
    </row>
    <row r="329" spans="4:65">
      <c r="D329" s="17" t="str">
        <f t="shared" si="93"/>
        <v>ErgänzungsfuttermittelKatzeAndere Supplemente</v>
      </c>
      <c r="E329" s="4" t="s">
        <v>91</v>
      </c>
      <c r="F329" s="19" t="s">
        <v>90</v>
      </c>
      <c r="G329" s="4" t="s">
        <v>93</v>
      </c>
      <c r="L329" s="4" t="s">
        <v>1156</v>
      </c>
      <c r="M329">
        <f t="shared" si="94"/>
        <v>8.4</v>
      </c>
      <c r="N329">
        <f t="shared" si="95"/>
        <v>88.8</v>
      </c>
      <c r="P329">
        <f t="shared" si="96"/>
        <v>1</v>
      </c>
      <c r="R329">
        <f>BK329</f>
        <v>0.6</v>
      </c>
      <c r="U329" s="33" t="str">
        <f t="shared" si="100"/>
        <v/>
      </c>
      <c r="AF329" s="4">
        <f t="shared" si="98"/>
        <v>0</v>
      </c>
      <c r="AL329" s="4">
        <f t="shared" ref="AL329:AL393" si="101">AK329*$BO$14</f>
        <v>0</v>
      </c>
      <c r="BA329" s="4">
        <v>5278.61</v>
      </c>
      <c r="BC329" s="4" t="s">
        <v>1157</v>
      </c>
      <c r="BD329" s="4" t="s">
        <v>1150</v>
      </c>
      <c r="BE329" s="4" t="s">
        <v>91</v>
      </c>
      <c r="BF329" s="4">
        <v>8.4</v>
      </c>
      <c r="BG329" s="4">
        <v>88.8</v>
      </c>
      <c r="BI329" s="4">
        <v>1</v>
      </c>
      <c r="BK329" s="4">
        <v>0.6</v>
      </c>
      <c r="BL329" s="4" t="s">
        <v>1159</v>
      </c>
      <c r="BM329" s="4" t="s">
        <v>1158</v>
      </c>
    </row>
    <row r="330" spans="4:65">
      <c r="D330" s="17" t="str">
        <f t="shared" si="93"/>
        <v>ErgänzungsfuttermittelKatzeAndere Supplemente</v>
      </c>
      <c r="E330" s="4" t="s">
        <v>91</v>
      </c>
      <c r="F330" s="19" t="s">
        <v>90</v>
      </c>
      <c r="G330" s="4" t="s">
        <v>93</v>
      </c>
      <c r="L330" s="4" t="s">
        <v>1160</v>
      </c>
      <c r="M330">
        <f t="shared" si="94"/>
        <v>8.9</v>
      </c>
      <c r="N330">
        <f t="shared" si="95"/>
        <v>37.200000000000003</v>
      </c>
      <c r="P330">
        <f t="shared" si="96"/>
        <v>12.7</v>
      </c>
      <c r="R330">
        <v>4</v>
      </c>
      <c r="U330" s="33" t="str">
        <f t="shared" si="100"/>
        <v/>
      </c>
      <c r="AF330" s="4">
        <f t="shared" si="98"/>
        <v>0</v>
      </c>
      <c r="AL330" s="4">
        <f t="shared" si="101"/>
        <v>0</v>
      </c>
      <c r="BA330" s="4">
        <v>211.22</v>
      </c>
      <c r="BB330" s="4">
        <v>3</v>
      </c>
      <c r="BC330" s="4" t="s">
        <v>1161</v>
      </c>
      <c r="BD330" s="4" t="s">
        <v>1150</v>
      </c>
      <c r="BE330" s="4" t="s">
        <v>91</v>
      </c>
      <c r="BF330" s="4">
        <v>8.9</v>
      </c>
      <c r="BG330" s="4">
        <v>37.200000000000003</v>
      </c>
      <c r="BI330" s="4">
        <v>12.7</v>
      </c>
      <c r="BK330" s="4">
        <v>9.1</v>
      </c>
      <c r="BL330" s="4" t="s">
        <v>1163</v>
      </c>
      <c r="BM330" s="4" t="s">
        <v>1162</v>
      </c>
    </row>
    <row r="331" spans="4:65">
      <c r="D331" s="17" t="str">
        <f t="shared" si="93"/>
        <v>ErgänzungsfuttermittelKatzeAndere Supplemente</v>
      </c>
      <c r="E331" s="4" t="s">
        <v>91</v>
      </c>
      <c r="F331" s="19" t="s">
        <v>90</v>
      </c>
      <c r="G331" s="4" t="s">
        <v>93</v>
      </c>
      <c r="L331" s="4" t="s">
        <v>1164</v>
      </c>
      <c r="M331">
        <f t="shared" si="94"/>
        <v>8.9</v>
      </c>
      <c r="N331">
        <f t="shared" si="95"/>
        <v>37.200000000000003</v>
      </c>
      <c r="P331">
        <f t="shared" si="96"/>
        <v>12.7</v>
      </c>
      <c r="R331">
        <f>BK331</f>
        <v>9.1</v>
      </c>
      <c r="U331" s="33" t="str">
        <f t="shared" si="100"/>
        <v/>
      </c>
      <c r="AF331" s="4">
        <f t="shared" si="98"/>
        <v>0</v>
      </c>
      <c r="AL331" s="4">
        <f t="shared" si="101"/>
        <v>0</v>
      </c>
      <c r="BA331" s="4">
        <v>165.01</v>
      </c>
      <c r="BB331" s="4">
        <v>3</v>
      </c>
      <c r="BC331" s="4" t="s">
        <v>1164</v>
      </c>
      <c r="BD331" s="4" t="s">
        <v>1150</v>
      </c>
      <c r="BE331" s="4" t="s">
        <v>91</v>
      </c>
      <c r="BF331" s="4">
        <v>8.9</v>
      </c>
      <c r="BG331" s="4">
        <v>37.200000000000003</v>
      </c>
      <c r="BI331" s="4">
        <v>12.7</v>
      </c>
      <c r="BK331" s="4">
        <v>9.1</v>
      </c>
      <c r="BL331" s="4" t="s">
        <v>1163</v>
      </c>
      <c r="BM331" s="4" t="s">
        <v>1165</v>
      </c>
    </row>
    <row r="332" spans="4:65">
      <c r="D332" s="17" t="str">
        <f t="shared" si="93"/>
        <v>ErgänzungsfuttermittelKatzeAndere Supplemente</v>
      </c>
      <c r="E332" s="4" t="s">
        <v>91</v>
      </c>
      <c r="F332" s="19" t="s">
        <v>90</v>
      </c>
      <c r="G332" s="4" t="s">
        <v>93</v>
      </c>
      <c r="L332" s="4" t="s">
        <v>1166</v>
      </c>
      <c r="M332">
        <f t="shared" si="94"/>
        <v>8</v>
      </c>
      <c r="N332">
        <f t="shared" si="95"/>
        <v>11.2</v>
      </c>
      <c r="P332">
        <f t="shared" si="96"/>
        <v>4</v>
      </c>
      <c r="R332">
        <f>BK332</f>
        <v>11.3</v>
      </c>
      <c r="U332" s="33" t="str">
        <f t="shared" si="100"/>
        <v/>
      </c>
      <c r="AF332" s="4">
        <f t="shared" si="98"/>
        <v>0</v>
      </c>
      <c r="AL332" s="4">
        <f t="shared" si="101"/>
        <v>0</v>
      </c>
      <c r="BA332" s="4">
        <v>165.01</v>
      </c>
      <c r="BB332" s="4">
        <v>3</v>
      </c>
      <c r="BC332" s="4" t="s">
        <v>1167</v>
      </c>
      <c r="BD332" s="4" t="s">
        <v>1150</v>
      </c>
      <c r="BE332" s="4" t="s">
        <v>91</v>
      </c>
      <c r="BF332" s="4">
        <v>8</v>
      </c>
      <c r="BG332" s="4">
        <v>11.2</v>
      </c>
      <c r="BI332" s="4">
        <v>4</v>
      </c>
      <c r="BK332" s="4">
        <v>11.3</v>
      </c>
      <c r="BL332" s="4" t="s">
        <v>1169</v>
      </c>
      <c r="BM332" s="4" t="s">
        <v>1168</v>
      </c>
    </row>
    <row r="333" spans="4:65">
      <c r="D333" s="17" t="str">
        <f t="shared" si="93"/>
        <v>ErgänzungsfuttermittelKatzeAndere Supplemente</v>
      </c>
      <c r="E333" s="4" t="s">
        <v>91</v>
      </c>
      <c r="F333" s="19" t="s">
        <v>90</v>
      </c>
      <c r="G333" s="4" t="s">
        <v>93</v>
      </c>
      <c r="L333" s="4" t="s">
        <v>1170</v>
      </c>
      <c r="M333">
        <f t="shared" si="94"/>
        <v>6.4</v>
      </c>
      <c r="N333">
        <f t="shared" si="95"/>
        <v>10.9</v>
      </c>
      <c r="P333">
        <f t="shared" si="96"/>
        <v>5.7</v>
      </c>
      <c r="R333">
        <f>BK333</f>
        <v>13.4</v>
      </c>
      <c r="U333" s="33" t="str">
        <f t="shared" si="100"/>
        <v/>
      </c>
      <c r="AF333" s="4">
        <f t="shared" si="98"/>
        <v>0</v>
      </c>
      <c r="AL333" s="4">
        <f t="shared" si="101"/>
        <v>0</v>
      </c>
      <c r="BA333" s="4">
        <v>197.88</v>
      </c>
      <c r="BB333" s="4">
        <v>3</v>
      </c>
      <c r="BC333" s="4" t="s">
        <v>1170</v>
      </c>
      <c r="BD333" s="4" t="s">
        <v>1150</v>
      </c>
      <c r="BE333" s="4" t="s">
        <v>91</v>
      </c>
      <c r="BF333" s="4">
        <v>6.4</v>
      </c>
      <c r="BG333" s="4">
        <v>10.9</v>
      </c>
      <c r="BI333" s="4">
        <v>5.7</v>
      </c>
      <c r="BK333" s="4">
        <v>13.4</v>
      </c>
      <c r="BL333" s="4" t="s">
        <v>1172</v>
      </c>
      <c r="BM333" s="4" t="s">
        <v>1171</v>
      </c>
    </row>
    <row r="334" spans="4:65">
      <c r="D334" s="17" t="str">
        <f t="shared" si="93"/>
        <v>ErgänzungsfuttermittelKatzeAndere Supplemente</v>
      </c>
      <c r="E334" s="4" t="s">
        <v>91</v>
      </c>
      <c r="F334" s="19" t="s">
        <v>90</v>
      </c>
      <c r="G334" s="4" t="s">
        <v>93</v>
      </c>
      <c r="L334" s="4" t="s">
        <v>1179</v>
      </c>
      <c r="M334">
        <f t="shared" si="94"/>
        <v>3.9</v>
      </c>
      <c r="N334">
        <f t="shared" si="95"/>
        <v>9.6999999999999993</v>
      </c>
      <c r="P334">
        <f t="shared" si="96"/>
        <v>3.2</v>
      </c>
      <c r="R334">
        <v>5</v>
      </c>
      <c r="U334" s="33" t="str">
        <f t="shared" si="100"/>
        <v/>
      </c>
      <c r="AF334" s="4">
        <f t="shared" si="98"/>
        <v>0</v>
      </c>
      <c r="AL334" s="4">
        <f t="shared" si="101"/>
        <v>0</v>
      </c>
      <c r="BA334" s="4">
        <v>209.83</v>
      </c>
      <c r="BC334" s="4" t="s">
        <v>1179</v>
      </c>
      <c r="BD334" s="4" t="s">
        <v>1173</v>
      </c>
      <c r="BE334" s="4" t="s">
        <v>91</v>
      </c>
      <c r="BF334" s="4">
        <v>3.9</v>
      </c>
      <c r="BG334" s="4">
        <v>9.6999999999999993</v>
      </c>
      <c r="BI334" s="4">
        <v>3.2</v>
      </c>
      <c r="BK334" s="4">
        <v>9.5</v>
      </c>
      <c r="BL334" s="4" t="s">
        <v>1181</v>
      </c>
      <c r="BM334" s="4" t="s">
        <v>1180</v>
      </c>
    </row>
    <row r="335" spans="4:65">
      <c r="D335" s="17" t="str">
        <f t="shared" si="93"/>
        <v>ErgänzungsfuttermittelKatzeAndere Supplemente</v>
      </c>
      <c r="E335" s="4" t="s">
        <v>91</v>
      </c>
      <c r="F335" s="19" t="s">
        <v>90</v>
      </c>
      <c r="G335" s="4" t="s">
        <v>93</v>
      </c>
      <c r="L335" s="4" t="s">
        <v>3237</v>
      </c>
      <c r="M335">
        <f t="shared" si="94"/>
        <v>19.2</v>
      </c>
      <c r="N335">
        <f t="shared" si="95"/>
        <v>51.4</v>
      </c>
      <c r="P335">
        <f t="shared" si="96"/>
        <v>5.2</v>
      </c>
      <c r="R335">
        <f t="shared" ref="R335:R398" si="102">BK335</f>
        <v>2</v>
      </c>
      <c r="U335" s="33" t="str">
        <f t="shared" si="100"/>
        <v/>
      </c>
      <c r="AF335" s="4">
        <f t="shared" si="98"/>
        <v>0</v>
      </c>
      <c r="AL335" s="4">
        <f t="shared" si="101"/>
        <v>0</v>
      </c>
      <c r="BA335" s="4">
        <v>71.400000000000006</v>
      </c>
      <c r="BB335" s="4">
        <v>2</v>
      </c>
      <c r="BC335" s="4" t="s">
        <v>3237</v>
      </c>
      <c r="BD335" s="4" t="s">
        <v>442</v>
      </c>
      <c r="BE335" s="4" t="s">
        <v>91</v>
      </c>
      <c r="BF335" s="4">
        <v>19.2</v>
      </c>
      <c r="BG335" s="4">
        <v>51.4</v>
      </c>
      <c r="BI335" s="4">
        <v>5.2</v>
      </c>
      <c r="BK335" s="4">
        <v>2</v>
      </c>
      <c r="BL335" s="4" t="s">
        <v>1192</v>
      </c>
      <c r="BM335" s="4" t="s">
        <v>1193</v>
      </c>
    </row>
    <row r="336" spans="4:65">
      <c r="D336" s="17" t="str">
        <f t="shared" si="93"/>
        <v>ErgänzungsfuttermittelKatzeAndere Supplemente</v>
      </c>
      <c r="E336" s="4" t="s">
        <v>91</v>
      </c>
      <c r="F336" s="19" t="s">
        <v>90</v>
      </c>
      <c r="G336" s="4" t="s">
        <v>93</v>
      </c>
      <c r="L336" s="4" t="s">
        <v>3238</v>
      </c>
      <c r="M336">
        <f t="shared" si="94"/>
        <v>18.2</v>
      </c>
      <c r="N336">
        <f t="shared" si="95"/>
        <v>43.2</v>
      </c>
      <c r="P336">
        <f t="shared" si="96"/>
        <v>5.5</v>
      </c>
      <c r="R336">
        <f t="shared" si="102"/>
        <v>1.7</v>
      </c>
      <c r="U336" s="33" t="str">
        <f t="shared" si="100"/>
        <v/>
      </c>
      <c r="BA336" s="4">
        <v>109</v>
      </c>
      <c r="BB336" s="4">
        <v>1</v>
      </c>
      <c r="BC336" s="4" t="s">
        <v>3238</v>
      </c>
      <c r="BD336" s="4" t="s">
        <v>442</v>
      </c>
      <c r="BE336" s="4" t="s">
        <v>91</v>
      </c>
      <c r="BF336" s="4">
        <v>18.2</v>
      </c>
      <c r="BG336" s="4">
        <v>43.2</v>
      </c>
      <c r="BI336" s="4">
        <v>5.5</v>
      </c>
      <c r="BK336" s="4">
        <v>1.7</v>
      </c>
      <c r="BL336" s="4" t="s">
        <v>3240</v>
      </c>
      <c r="BM336" s="4" t="s">
        <v>3239</v>
      </c>
    </row>
    <row r="337" spans="4:65">
      <c r="D337" s="17" t="str">
        <f t="shared" ref="D337:D400" si="103">E337&amp;""&amp;F337&amp;""&amp;G337&amp;""&amp;H337</f>
        <v>ErgänzungsfuttermittelKatzeAndere Supplemente</v>
      </c>
      <c r="E337" s="4" t="s">
        <v>91</v>
      </c>
      <c r="F337" s="19" t="s">
        <v>90</v>
      </c>
      <c r="G337" s="4" t="s">
        <v>93</v>
      </c>
      <c r="L337" s="4" t="s">
        <v>1194</v>
      </c>
      <c r="M337">
        <f t="shared" ref="M337:M400" si="104">BF337</f>
        <v>0.7</v>
      </c>
      <c r="N337">
        <f t="shared" ref="N337:N400" si="105">BG337</f>
        <v>0.1</v>
      </c>
      <c r="P337">
        <f t="shared" ref="P337:P400" si="106">BI337</f>
        <v>0.1</v>
      </c>
      <c r="R337">
        <f t="shared" si="102"/>
        <v>0.1</v>
      </c>
      <c r="U337" s="33" t="str">
        <f t="shared" si="100"/>
        <v/>
      </c>
      <c r="AF337" s="4">
        <f t="shared" si="98"/>
        <v>0</v>
      </c>
      <c r="AL337" s="4">
        <f t="shared" si="101"/>
        <v>0</v>
      </c>
      <c r="BA337" s="4">
        <v>297.5</v>
      </c>
      <c r="BB337" s="4">
        <v>2</v>
      </c>
      <c r="BC337" s="4" t="s">
        <v>1194</v>
      </c>
      <c r="BD337" s="4" t="s">
        <v>371</v>
      </c>
      <c r="BE337" s="4" t="s">
        <v>91</v>
      </c>
      <c r="BF337" s="4">
        <v>0.7</v>
      </c>
      <c r="BG337" s="4">
        <v>0.1</v>
      </c>
      <c r="BI337" s="4">
        <v>0.1</v>
      </c>
      <c r="BK337" s="4">
        <v>0.1</v>
      </c>
      <c r="BL337" s="4" t="s">
        <v>1196</v>
      </c>
      <c r="BM337" s="4" t="s">
        <v>1195</v>
      </c>
    </row>
    <row r="338" spans="4:65">
      <c r="D338" s="17" t="str">
        <f t="shared" si="103"/>
        <v>ErgänzungsfuttermittelKatzeAndere Supplemente</v>
      </c>
      <c r="E338" s="4" t="s">
        <v>91</v>
      </c>
      <c r="F338" s="19" t="s">
        <v>90</v>
      </c>
      <c r="G338" s="4" t="s">
        <v>93</v>
      </c>
      <c r="L338" s="4" t="s">
        <v>1204</v>
      </c>
      <c r="M338">
        <f t="shared" si="104"/>
        <v>15.4</v>
      </c>
      <c r="N338">
        <f t="shared" si="105"/>
        <v>13</v>
      </c>
      <c r="P338">
        <f t="shared" si="106"/>
        <v>7.5</v>
      </c>
      <c r="R338">
        <f t="shared" si="102"/>
        <v>11.8</v>
      </c>
      <c r="U338" s="33" t="str">
        <f t="shared" si="100"/>
        <v/>
      </c>
      <c r="AF338" s="4">
        <f t="shared" si="98"/>
        <v>0</v>
      </c>
      <c r="AL338" s="4">
        <f t="shared" si="101"/>
        <v>0</v>
      </c>
      <c r="BA338" s="4">
        <v>97.6</v>
      </c>
      <c r="BB338" s="4">
        <v>1.75</v>
      </c>
      <c r="BC338" s="4" t="s">
        <v>1205</v>
      </c>
      <c r="BD338" s="4" t="s">
        <v>1206</v>
      </c>
      <c r="BE338" s="4" t="s">
        <v>91</v>
      </c>
      <c r="BF338" s="4">
        <v>15.4</v>
      </c>
      <c r="BG338" s="4">
        <v>13</v>
      </c>
      <c r="BI338" s="4">
        <v>7.5</v>
      </c>
      <c r="BK338" s="4">
        <v>11.8</v>
      </c>
      <c r="BL338" s="4" t="s">
        <v>1208</v>
      </c>
      <c r="BM338" s="4" t="s">
        <v>1207</v>
      </c>
    </row>
    <row r="339" spans="4:65">
      <c r="D339" s="17" t="str">
        <f t="shared" si="103"/>
        <v>ErgänzungsfuttermittelKatzeAndere Supplemente</v>
      </c>
      <c r="E339" s="4" t="s">
        <v>91</v>
      </c>
      <c r="F339" s="19" t="s">
        <v>90</v>
      </c>
      <c r="G339" s="4" t="s">
        <v>93</v>
      </c>
      <c r="L339" s="4" t="s">
        <v>1212</v>
      </c>
      <c r="M339">
        <f t="shared" si="104"/>
        <v>5.7</v>
      </c>
      <c r="N339">
        <f t="shared" si="105"/>
        <v>14.3</v>
      </c>
      <c r="P339">
        <f t="shared" si="106"/>
        <v>5.5</v>
      </c>
      <c r="R339">
        <f t="shared" si="102"/>
        <v>17.600000000000001</v>
      </c>
      <c r="U339" s="33" t="str">
        <f t="shared" si="100"/>
        <v/>
      </c>
      <c r="AF339" s="4">
        <f t="shared" si="98"/>
        <v>0</v>
      </c>
      <c r="AL339" s="4">
        <f t="shared" si="101"/>
        <v>0</v>
      </c>
      <c r="BA339" s="4">
        <v>127.2</v>
      </c>
      <c r="BB339" s="4">
        <v>0.7</v>
      </c>
      <c r="BC339" s="4" t="s">
        <v>1212</v>
      </c>
      <c r="BD339" s="4" t="s">
        <v>1213</v>
      </c>
      <c r="BE339" s="4" t="s">
        <v>91</v>
      </c>
      <c r="BF339" s="4">
        <v>5.7</v>
      </c>
      <c r="BG339" s="4">
        <v>14.3</v>
      </c>
      <c r="BI339" s="4">
        <v>5.5</v>
      </c>
      <c r="BK339" s="4">
        <v>17.600000000000001</v>
      </c>
      <c r="BL339" s="4" t="s">
        <v>1215</v>
      </c>
      <c r="BM339" s="4" t="s">
        <v>1214</v>
      </c>
    </row>
    <row r="340" spans="4:65">
      <c r="D340" s="17" t="str">
        <f t="shared" si="103"/>
        <v>ErgänzungsfuttermittelKatzeAndere Supplemente</v>
      </c>
      <c r="E340" s="4" t="s">
        <v>91</v>
      </c>
      <c r="F340" s="19" t="s">
        <v>90</v>
      </c>
      <c r="G340" s="4" t="s">
        <v>93</v>
      </c>
      <c r="L340" s="4" t="s">
        <v>1231</v>
      </c>
      <c r="M340">
        <f t="shared" si="104"/>
        <v>25.8</v>
      </c>
      <c r="N340">
        <f t="shared" si="105"/>
        <v>0</v>
      </c>
      <c r="P340">
        <f t="shared" si="106"/>
        <v>0</v>
      </c>
      <c r="R340">
        <f t="shared" si="102"/>
        <v>0</v>
      </c>
      <c r="S340" s="4">
        <v>17000</v>
      </c>
      <c r="T340" s="4">
        <v>250</v>
      </c>
      <c r="U340" s="33">
        <f t="shared" si="100"/>
        <v>68</v>
      </c>
      <c r="V340" s="4">
        <v>1250</v>
      </c>
      <c r="W340" s="4">
        <v>650</v>
      </c>
      <c r="X340" s="4">
        <v>650</v>
      </c>
      <c r="AF340" s="4">
        <f t="shared" si="98"/>
        <v>0</v>
      </c>
      <c r="AL340" s="4">
        <f t="shared" si="101"/>
        <v>0</v>
      </c>
      <c r="BA340" s="4">
        <v>48.6</v>
      </c>
      <c r="BB340" s="4">
        <v>2</v>
      </c>
      <c r="BC340" s="4" t="s">
        <v>1231</v>
      </c>
      <c r="BD340" s="4" t="s">
        <v>1217</v>
      </c>
      <c r="BE340" s="4" t="s">
        <v>91</v>
      </c>
      <c r="BF340" s="4">
        <v>25.8</v>
      </c>
      <c r="BL340" s="4" t="s">
        <v>1233</v>
      </c>
      <c r="BM340" s="4" t="s">
        <v>1232</v>
      </c>
    </row>
    <row r="341" spans="4:65">
      <c r="D341" s="17" t="str">
        <f t="shared" si="103"/>
        <v>ErgänzungsfuttermittelKatzeAndere Supplemente</v>
      </c>
      <c r="E341" s="4" t="s">
        <v>91</v>
      </c>
      <c r="F341" s="19" t="s">
        <v>90</v>
      </c>
      <c r="G341" s="4" t="s">
        <v>93</v>
      </c>
      <c r="L341" s="4" t="s">
        <v>1251</v>
      </c>
      <c r="M341">
        <f t="shared" si="104"/>
        <v>5</v>
      </c>
      <c r="N341">
        <f t="shared" si="105"/>
        <v>17</v>
      </c>
      <c r="P341">
        <f t="shared" si="106"/>
        <v>4</v>
      </c>
      <c r="R341">
        <f t="shared" si="102"/>
        <v>6</v>
      </c>
      <c r="U341" s="33" t="str">
        <f t="shared" si="100"/>
        <v/>
      </c>
      <c r="AF341" s="4">
        <f t="shared" si="98"/>
        <v>0</v>
      </c>
      <c r="AL341" s="4">
        <f t="shared" si="101"/>
        <v>0</v>
      </c>
      <c r="BA341" s="4">
        <v>62.8</v>
      </c>
      <c r="BB341" s="4">
        <v>0.5</v>
      </c>
      <c r="BC341" s="4" t="s">
        <v>1252</v>
      </c>
      <c r="BD341" s="4" t="s">
        <v>1253</v>
      </c>
      <c r="BE341" s="4" t="s">
        <v>91</v>
      </c>
      <c r="BF341" s="4">
        <v>5</v>
      </c>
      <c r="BG341" s="4">
        <v>17</v>
      </c>
      <c r="BI341" s="4">
        <v>4</v>
      </c>
      <c r="BK341" s="4">
        <v>6</v>
      </c>
      <c r="BL341" s="4" t="s">
        <v>1255</v>
      </c>
      <c r="BM341" s="4" t="s">
        <v>1254</v>
      </c>
    </row>
    <row r="342" spans="4:65">
      <c r="D342" s="17" t="str">
        <f t="shared" si="103"/>
        <v>ErgänzungsfuttermittelKatzeAndere Supplemente</v>
      </c>
      <c r="E342" s="4" t="s">
        <v>91</v>
      </c>
      <c r="F342" s="19" t="s">
        <v>90</v>
      </c>
      <c r="G342" s="4" t="s">
        <v>93</v>
      </c>
      <c r="L342" s="4" t="s">
        <v>207</v>
      </c>
      <c r="M342">
        <f t="shared" si="104"/>
        <v>18.559999999999999</v>
      </c>
      <c r="N342">
        <f t="shared" si="105"/>
        <v>2.83</v>
      </c>
      <c r="O342"/>
      <c r="P342">
        <f t="shared" si="106"/>
        <v>0.62</v>
      </c>
      <c r="Q342"/>
      <c r="R342">
        <f t="shared" si="102"/>
        <v>0.95</v>
      </c>
      <c r="U342" s="33" t="str">
        <f t="shared" si="100"/>
        <v/>
      </c>
      <c r="W342" s="4">
        <v>1820</v>
      </c>
      <c r="X342" s="4">
        <v>5020</v>
      </c>
      <c r="AF342" s="4">
        <f t="shared" si="98"/>
        <v>0</v>
      </c>
      <c r="AL342" s="4">
        <f t="shared" si="101"/>
        <v>0</v>
      </c>
      <c r="BA342" s="4">
        <v>248</v>
      </c>
      <c r="BB342" s="4">
        <v>2.5</v>
      </c>
      <c r="BC342" s="4" t="s">
        <v>207</v>
      </c>
      <c r="BD342" s="4" t="s">
        <v>96</v>
      </c>
      <c r="BE342" s="4" t="s">
        <v>91</v>
      </c>
      <c r="BF342" s="4">
        <v>18.559999999999999</v>
      </c>
      <c r="BG342" s="4">
        <v>2.83</v>
      </c>
      <c r="BI342" s="4">
        <v>0.62</v>
      </c>
      <c r="BJ342" s="4">
        <f t="shared" ref="BJ342:BJ351" si="107">100-(BF342+BG342+BI342)</f>
        <v>77.989999999999995</v>
      </c>
      <c r="BK342" s="4">
        <v>0.95</v>
      </c>
      <c r="BL342" s="4" t="s">
        <v>208</v>
      </c>
      <c r="BM342" s="4" t="s">
        <v>209</v>
      </c>
    </row>
    <row r="343" spans="4:65">
      <c r="D343" s="17" t="str">
        <f t="shared" si="103"/>
        <v>ErgänzungsfuttermittelKatzeAndere Supplemente</v>
      </c>
      <c r="E343" s="4" t="s">
        <v>91</v>
      </c>
      <c r="F343" s="19" t="s">
        <v>90</v>
      </c>
      <c r="G343" s="4" t="s">
        <v>93</v>
      </c>
      <c r="L343" s="4" t="s">
        <v>249</v>
      </c>
      <c r="M343">
        <f t="shared" si="104"/>
        <v>2.2000000000000002</v>
      </c>
      <c r="N343">
        <f t="shared" si="105"/>
        <v>31.4</v>
      </c>
      <c r="O343"/>
      <c r="P343">
        <f t="shared" si="106"/>
        <v>9.3000000000000007</v>
      </c>
      <c r="Q343"/>
      <c r="R343">
        <f t="shared" si="102"/>
        <v>5.7</v>
      </c>
      <c r="S343" s="4">
        <v>480</v>
      </c>
      <c r="T343" s="4">
        <v>470</v>
      </c>
      <c r="U343" s="33">
        <f t="shared" si="100"/>
        <v>1.0212765957446808</v>
      </c>
      <c r="AF343" s="4">
        <f t="shared" si="98"/>
        <v>0</v>
      </c>
      <c r="AL343" s="4">
        <f t="shared" si="101"/>
        <v>0</v>
      </c>
      <c r="BC343" s="4" t="s">
        <v>249</v>
      </c>
      <c r="BD343" s="4" t="s">
        <v>214</v>
      </c>
      <c r="BE343" s="4" t="s">
        <v>91</v>
      </c>
      <c r="BF343" s="4">
        <v>2.2000000000000002</v>
      </c>
      <c r="BG343" s="4">
        <v>31.4</v>
      </c>
      <c r="BI343" s="4">
        <v>9.3000000000000007</v>
      </c>
      <c r="BJ343" s="4">
        <f t="shared" si="107"/>
        <v>57.099999999999994</v>
      </c>
      <c r="BK343" s="4">
        <v>5.7</v>
      </c>
      <c r="BL343" s="4" t="s">
        <v>251</v>
      </c>
      <c r="BM343" s="4" t="s">
        <v>250</v>
      </c>
    </row>
    <row r="344" spans="4:65">
      <c r="D344" s="17" t="str">
        <f t="shared" si="103"/>
        <v>ErgänzungsfuttermittelKatzeAndere Supplemente</v>
      </c>
      <c r="E344" s="4" t="s">
        <v>91</v>
      </c>
      <c r="F344" s="19" t="s">
        <v>90</v>
      </c>
      <c r="G344" s="4" t="s">
        <v>93</v>
      </c>
      <c r="L344" s="4" t="s">
        <v>270</v>
      </c>
      <c r="M344">
        <f t="shared" si="104"/>
        <v>17.399999999999999</v>
      </c>
      <c r="N344">
        <f t="shared" si="105"/>
        <v>23.3</v>
      </c>
      <c r="O344"/>
      <c r="P344">
        <f t="shared" si="106"/>
        <v>2.2999999999999998</v>
      </c>
      <c r="Q344"/>
      <c r="R344">
        <f t="shared" si="102"/>
        <v>10.9</v>
      </c>
      <c r="U344" s="33" t="str">
        <f t="shared" si="100"/>
        <v/>
      </c>
      <c r="AF344" s="4">
        <f t="shared" ref="AF344:AF407" si="108">AG344*$BO$13</f>
        <v>0</v>
      </c>
      <c r="AL344" s="4">
        <f t="shared" si="101"/>
        <v>0</v>
      </c>
      <c r="AZ344" s="4">
        <v>2000</v>
      </c>
      <c r="BA344" s="4">
        <v>169.9</v>
      </c>
      <c r="BC344" s="4" t="s">
        <v>270</v>
      </c>
      <c r="BD344" s="4" t="s">
        <v>269</v>
      </c>
      <c r="BE344" s="4" t="s">
        <v>91</v>
      </c>
      <c r="BF344" s="4">
        <v>17.399999999999999</v>
      </c>
      <c r="BG344" s="4">
        <v>23.3</v>
      </c>
      <c r="BI344" s="4">
        <v>2.2999999999999998</v>
      </c>
      <c r="BJ344" s="4">
        <f t="shared" si="107"/>
        <v>57</v>
      </c>
      <c r="BK344" s="4">
        <v>10.9</v>
      </c>
      <c r="BL344" s="4" t="s">
        <v>272</v>
      </c>
      <c r="BM344" s="4" t="s">
        <v>271</v>
      </c>
    </row>
    <row r="345" spans="4:65">
      <c r="D345" s="17" t="str">
        <f t="shared" si="103"/>
        <v>ErgänzungsfuttermittelKatzeAndere Supplemente</v>
      </c>
      <c r="E345" s="4" t="s">
        <v>91</v>
      </c>
      <c r="F345" s="19" t="s">
        <v>90</v>
      </c>
      <c r="G345" s="4" t="s">
        <v>93</v>
      </c>
      <c r="L345" s="4" t="s">
        <v>358</v>
      </c>
      <c r="M345">
        <f t="shared" si="104"/>
        <v>9.1300000000000008</v>
      </c>
      <c r="N345">
        <f t="shared" si="105"/>
        <v>35.19</v>
      </c>
      <c r="P345">
        <f t="shared" si="106"/>
        <v>4.59</v>
      </c>
      <c r="R345">
        <f t="shared" si="102"/>
        <v>7.84</v>
      </c>
      <c r="U345" s="33" t="str">
        <f t="shared" si="100"/>
        <v/>
      </c>
      <c r="AF345" s="4">
        <f t="shared" si="108"/>
        <v>0</v>
      </c>
      <c r="AL345" s="4">
        <f t="shared" si="101"/>
        <v>0</v>
      </c>
      <c r="BA345" s="4">
        <v>199.9</v>
      </c>
      <c r="BB345" s="4">
        <v>0.5</v>
      </c>
      <c r="BC345" s="4" t="s">
        <v>358</v>
      </c>
      <c r="BD345" s="4" t="s">
        <v>269</v>
      </c>
      <c r="BE345" s="4" t="s">
        <v>91</v>
      </c>
      <c r="BF345" s="4">
        <v>9.1300000000000008</v>
      </c>
      <c r="BG345" s="4">
        <v>35.19</v>
      </c>
      <c r="BI345" s="4">
        <v>4.59</v>
      </c>
      <c r="BJ345" s="4">
        <f t="shared" si="107"/>
        <v>51.09</v>
      </c>
      <c r="BK345" s="4">
        <v>7.84</v>
      </c>
      <c r="BL345" s="4" t="s">
        <v>360</v>
      </c>
      <c r="BM345" s="4" t="s">
        <v>359</v>
      </c>
    </row>
    <row r="346" spans="4:65">
      <c r="D346" s="17" t="str">
        <f t="shared" si="103"/>
        <v>ErgänzungsfuttermittelKatzeAndere Supplemente</v>
      </c>
      <c r="E346" s="4" t="s">
        <v>91</v>
      </c>
      <c r="F346" s="19" t="s">
        <v>90</v>
      </c>
      <c r="G346" s="4" t="s">
        <v>93</v>
      </c>
      <c r="L346" s="4" t="s">
        <v>361</v>
      </c>
      <c r="M346">
        <f t="shared" si="104"/>
        <v>9.1300000000000008</v>
      </c>
      <c r="N346">
        <f t="shared" si="105"/>
        <v>35.909999999999997</v>
      </c>
      <c r="P346">
        <f t="shared" si="106"/>
        <v>4.59</v>
      </c>
      <c r="R346">
        <f t="shared" si="102"/>
        <v>7.84</v>
      </c>
      <c r="U346" s="33" t="str">
        <f t="shared" si="100"/>
        <v/>
      </c>
      <c r="AF346" s="4">
        <f t="shared" si="108"/>
        <v>0</v>
      </c>
      <c r="AL346" s="4">
        <f t="shared" si="101"/>
        <v>0</v>
      </c>
      <c r="BA346" s="4">
        <v>319.8</v>
      </c>
      <c r="BC346" s="4" t="s">
        <v>361</v>
      </c>
      <c r="BD346" s="4" t="s">
        <v>269</v>
      </c>
      <c r="BE346" s="4" t="s">
        <v>91</v>
      </c>
      <c r="BF346" s="4">
        <v>9.1300000000000008</v>
      </c>
      <c r="BG346" s="4">
        <v>35.909999999999997</v>
      </c>
      <c r="BI346" s="4">
        <v>4.59</v>
      </c>
      <c r="BJ346" s="4">
        <f t="shared" si="107"/>
        <v>50.370000000000005</v>
      </c>
      <c r="BK346" s="4">
        <v>7.84</v>
      </c>
      <c r="BL346" s="4" t="s">
        <v>363</v>
      </c>
      <c r="BM346" s="4" t="s">
        <v>362</v>
      </c>
    </row>
    <row r="347" spans="4:65">
      <c r="D347" s="17" t="str">
        <f t="shared" si="103"/>
        <v>ErgänzungsfuttermittelKatzeAndere Supplemente</v>
      </c>
      <c r="E347" s="4" t="s">
        <v>91</v>
      </c>
      <c r="F347" s="19" t="s">
        <v>90</v>
      </c>
      <c r="G347" s="4" t="s">
        <v>93</v>
      </c>
      <c r="L347" s="4" t="s">
        <v>385</v>
      </c>
      <c r="M347">
        <f t="shared" si="104"/>
        <v>5.6</v>
      </c>
      <c r="N347">
        <f t="shared" si="105"/>
        <v>9.5</v>
      </c>
      <c r="P347">
        <f t="shared" si="106"/>
        <v>3.7</v>
      </c>
      <c r="R347">
        <f t="shared" si="102"/>
        <v>10.199999999999999</v>
      </c>
      <c r="S347" s="4">
        <v>400</v>
      </c>
      <c r="T347" s="4">
        <v>200</v>
      </c>
      <c r="U347" s="33">
        <f t="shared" si="100"/>
        <v>2</v>
      </c>
      <c r="V347" s="4">
        <v>100</v>
      </c>
      <c r="X347" s="4">
        <v>100</v>
      </c>
      <c r="AF347" s="4">
        <f t="shared" si="108"/>
        <v>0</v>
      </c>
      <c r="AL347" s="4">
        <f t="shared" si="101"/>
        <v>0</v>
      </c>
      <c r="BA347" s="4">
        <v>44.75</v>
      </c>
      <c r="BC347" s="4" t="s">
        <v>377</v>
      </c>
      <c r="BD347" s="4" t="s">
        <v>371</v>
      </c>
      <c r="BE347" s="4" t="s">
        <v>91</v>
      </c>
      <c r="BF347" s="4">
        <v>5.6</v>
      </c>
      <c r="BG347" s="4">
        <v>9.5</v>
      </c>
      <c r="BI347" s="4">
        <v>3.7</v>
      </c>
      <c r="BJ347" s="4">
        <f t="shared" si="107"/>
        <v>81.2</v>
      </c>
      <c r="BK347" s="4">
        <v>10.199999999999999</v>
      </c>
      <c r="BL347" s="4" t="s">
        <v>379</v>
      </c>
      <c r="BM347" s="4" t="s">
        <v>378</v>
      </c>
    </row>
    <row r="348" spans="4:65">
      <c r="D348" s="17" t="str">
        <f t="shared" si="103"/>
        <v>ErgänzungsfuttermittelKatzeAndere Supplemente</v>
      </c>
      <c r="E348" s="4" t="s">
        <v>91</v>
      </c>
      <c r="F348" s="19" t="s">
        <v>90</v>
      </c>
      <c r="G348" s="4" t="s">
        <v>93</v>
      </c>
      <c r="L348" s="4" t="s">
        <v>537</v>
      </c>
      <c r="M348">
        <f t="shared" si="104"/>
        <v>13.4</v>
      </c>
      <c r="N348">
        <f t="shared" si="105"/>
        <v>12.7</v>
      </c>
      <c r="P348">
        <f t="shared" si="106"/>
        <v>7.3</v>
      </c>
      <c r="R348">
        <f t="shared" si="102"/>
        <v>12.5</v>
      </c>
      <c r="S348" s="4">
        <v>2900</v>
      </c>
      <c r="T348" s="4">
        <v>300</v>
      </c>
      <c r="U348" s="33">
        <f t="shared" si="100"/>
        <v>9.6666666666666661</v>
      </c>
      <c r="V348" s="4">
        <v>700</v>
      </c>
      <c r="X348" s="4">
        <v>100</v>
      </c>
      <c r="AF348" s="4">
        <f t="shared" si="108"/>
        <v>0</v>
      </c>
      <c r="AL348" s="4">
        <f t="shared" si="101"/>
        <v>0</v>
      </c>
      <c r="BA348" s="4">
        <v>48.29</v>
      </c>
      <c r="BC348" s="4" t="s">
        <v>386</v>
      </c>
      <c r="BD348" s="4" t="s">
        <v>371</v>
      </c>
      <c r="BE348" s="4" t="s">
        <v>91</v>
      </c>
      <c r="BF348" s="4">
        <v>13.4</v>
      </c>
      <c r="BG348" s="4">
        <v>12.7</v>
      </c>
      <c r="BI348" s="4">
        <v>7.3</v>
      </c>
      <c r="BJ348" s="4">
        <f t="shared" si="107"/>
        <v>66.599999999999994</v>
      </c>
      <c r="BK348" s="4">
        <v>12.5</v>
      </c>
      <c r="BL348" s="4" t="s">
        <v>381</v>
      </c>
      <c r="BM348" s="4" t="s">
        <v>380</v>
      </c>
    </row>
    <row r="349" spans="4:65">
      <c r="D349" s="17" t="str">
        <f t="shared" si="103"/>
        <v>ErgänzungsfuttermittelKatzeAndere Supplemente</v>
      </c>
      <c r="E349" s="4" t="s">
        <v>91</v>
      </c>
      <c r="F349" s="19" t="s">
        <v>90</v>
      </c>
      <c r="G349" s="4" t="s">
        <v>93</v>
      </c>
      <c r="L349" s="4" t="s">
        <v>679</v>
      </c>
      <c r="M349">
        <f t="shared" si="104"/>
        <v>5</v>
      </c>
      <c r="N349">
        <f t="shared" si="105"/>
        <v>36</v>
      </c>
      <c r="P349">
        <f t="shared" si="106"/>
        <v>53</v>
      </c>
      <c r="R349">
        <f t="shared" si="102"/>
        <v>0</v>
      </c>
      <c r="S349" s="4">
        <v>1600</v>
      </c>
      <c r="T349" s="4">
        <v>1100</v>
      </c>
      <c r="U349" s="33">
        <f t="shared" si="100"/>
        <v>1.4545454545454546</v>
      </c>
      <c r="V349" s="4">
        <v>52</v>
      </c>
      <c r="W349" s="4">
        <v>260</v>
      </c>
      <c r="X349" s="4">
        <v>210</v>
      </c>
      <c r="AF349" s="4">
        <f t="shared" si="108"/>
        <v>0</v>
      </c>
      <c r="AL349" s="4">
        <f t="shared" si="101"/>
        <v>0</v>
      </c>
      <c r="BA349" s="4">
        <v>56.9</v>
      </c>
      <c r="BC349" s="4" t="s">
        <v>679</v>
      </c>
      <c r="BD349" s="4" t="s">
        <v>680</v>
      </c>
      <c r="BE349" s="4" t="s">
        <v>91</v>
      </c>
      <c r="BF349" s="4">
        <v>5</v>
      </c>
      <c r="BG349" s="4">
        <v>36</v>
      </c>
      <c r="BI349" s="4">
        <v>53</v>
      </c>
      <c r="BJ349" s="4">
        <f t="shared" si="107"/>
        <v>6</v>
      </c>
      <c r="BK349" s="4">
        <v>0</v>
      </c>
      <c r="BL349" s="4" t="s">
        <v>682</v>
      </c>
      <c r="BM349" s="4" t="s">
        <v>681</v>
      </c>
    </row>
    <row r="350" spans="4:65">
      <c r="D350" s="17" t="str">
        <f t="shared" si="103"/>
        <v>ErgänzungsfuttermittelKatzeAndere Supplemente</v>
      </c>
      <c r="E350" s="4" t="s">
        <v>91</v>
      </c>
      <c r="F350" s="19" t="s">
        <v>90</v>
      </c>
      <c r="G350" s="4" t="s">
        <v>93</v>
      </c>
      <c r="L350" s="4" t="s">
        <v>685</v>
      </c>
      <c r="M350">
        <f t="shared" si="104"/>
        <v>3.4</v>
      </c>
      <c r="N350">
        <f t="shared" si="105"/>
        <v>12</v>
      </c>
      <c r="P350">
        <f t="shared" si="106"/>
        <v>51.6</v>
      </c>
      <c r="R350">
        <f t="shared" si="102"/>
        <v>0.1</v>
      </c>
      <c r="S350" s="4">
        <v>400</v>
      </c>
      <c r="T350" s="4">
        <v>300</v>
      </c>
      <c r="U350" s="33">
        <f t="shared" si="100"/>
        <v>1.3333333333333333</v>
      </c>
      <c r="W350" s="4">
        <v>500</v>
      </c>
      <c r="X350" s="4">
        <v>200</v>
      </c>
      <c r="AF350" s="4">
        <f t="shared" si="108"/>
        <v>0</v>
      </c>
      <c r="AL350" s="4">
        <f t="shared" si="101"/>
        <v>0</v>
      </c>
      <c r="BA350" s="4">
        <v>31.16</v>
      </c>
      <c r="BC350" s="4" t="s">
        <v>685</v>
      </c>
      <c r="BD350" s="4" t="s">
        <v>680</v>
      </c>
      <c r="BE350" s="4" t="s">
        <v>91</v>
      </c>
      <c r="BF350" s="4">
        <v>3.4</v>
      </c>
      <c r="BG350" s="4">
        <v>12</v>
      </c>
      <c r="BI350" s="4">
        <v>51.6</v>
      </c>
      <c r="BJ350" s="4">
        <f t="shared" si="107"/>
        <v>33</v>
      </c>
      <c r="BK350" s="4">
        <v>0.1</v>
      </c>
      <c r="BL350" s="4" t="s">
        <v>684</v>
      </c>
      <c r="BM350" s="4" t="s">
        <v>683</v>
      </c>
    </row>
    <row r="351" spans="4:65">
      <c r="D351" s="17" t="str">
        <f t="shared" si="103"/>
        <v>ErgänzungsfuttermittelKatzeAndere Supplemente</v>
      </c>
      <c r="E351" s="4" t="s">
        <v>91</v>
      </c>
      <c r="F351" s="19" t="s">
        <v>90</v>
      </c>
      <c r="G351" s="4" t="s">
        <v>93</v>
      </c>
      <c r="L351" s="4" t="s">
        <v>715</v>
      </c>
      <c r="M351">
        <f t="shared" si="104"/>
        <v>1.8</v>
      </c>
      <c r="N351">
        <f t="shared" si="105"/>
        <v>4</v>
      </c>
      <c r="P351">
        <f t="shared" si="106"/>
        <v>0.8</v>
      </c>
      <c r="R351">
        <f t="shared" si="102"/>
        <v>1.2</v>
      </c>
      <c r="U351" s="33" t="str">
        <f t="shared" si="100"/>
        <v/>
      </c>
      <c r="W351" s="4">
        <v>200</v>
      </c>
      <c r="AF351" s="4">
        <f t="shared" si="108"/>
        <v>0</v>
      </c>
      <c r="AL351" s="4">
        <f t="shared" si="101"/>
        <v>0</v>
      </c>
      <c r="BA351" s="4">
        <v>179.9</v>
      </c>
      <c r="BB351" s="4">
        <v>1.5</v>
      </c>
      <c r="BC351" s="4" t="s">
        <v>716</v>
      </c>
      <c r="BD351" s="4" t="s">
        <v>703</v>
      </c>
      <c r="BE351" s="4" t="s">
        <v>91</v>
      </c>
      <c r="BF351" s="4">
        <v>1.8</v>
      </c>
      <c r="BG351" s="4">
        <v>4</v>
      </c>
      <c r="BI351" s="4">
        <v>0.8</v>
      </c>
      <c r="BJ351" s="4">
        <f t="shared" si="107"/>
        <v>93.4</v>
      </c>
      <c r="BK351" s="4">
        <v>1.2</v>
      </c>
      <c r="BL351" s="4" t="s">
        <v>718</v>
      </c>
      <c r="BM351" s="4" t="s">
        <v>717</v>
      </c>
    </row>
    <row r="352" spans="4:65">
      <c r="D352" s="17" t="str">
        <f t="shared" si="103"/>
        <v>ErgänzungsfuttermittelKatzeAndere Supplemente</v>
      </c>
      <c r="E352" s="4" t="s">
        <v>91</v>
      </c>
      <c r="F352" s="19" t="s">
        <v>90</v>
      </c>
      <c r="G352" s="4" t="s">
        <v>93</v>
      </c>
      <c r="L352" s="4" t="s">
        <v>810</v>
      </c>
      <c r="M352">
        <f t="shared" si="104"/>
        <v>7.5</v>
      </c>
      <c r="N352">
        <f t="shared" si="105"/>
        <v>11.9</v>
      </c>
      <c r="P352">
        <f t="shared" si="106"/>
        <v>6.3</v>
      </c>
      <c r="R352">
        <f t="shared" si="102"/>
        <v>27.3</v>
      </c>
      <c r="S352" s="4">
        <v>1160</v>
      </c>
      <c r="T352" s="4">
        <v>250</v>
      </c>
      <c r="U352" s="33">
        <f t="shared" si="100"/>
        <v>4.6399999999999997</v>
      </c>
      <c r="V352" s="4">
        <v>160</v>
      </c>
      <c r="W352" s="4">
        <v>1190</v>
      </c>
      <c r="X352" s="4">
        <v>410</v>
      </c>
      <c r="AF352" s="4">
        <f t="shared" si="108"/>
        <v>0</v>
      </c>
      <c r="AL352" s="4">
        <f t="shared" si="101"/>
        <v>0</v>
      </c>
      <c r="BA352" s="4">
        <v>79.900000000000006</v>
      </c>
      <c r="BB352" s="4">
        <v>1.2</v>
      </c>
      <c r="BC352" s="4" t="s">
        <v>811</v>
      </c>
      <c r="BD352" s="4" t="s">
        <v>703</v>
      </c>
      <c r="BE352" s="4" t="s">
        <v>91</v>
      </c>
      <c r="BF352" s="4">
        <v>7.5</v>
      </c>
      <c r="BG352" s="4">
        <v>11.9</v>
      </c>
      <c r="BI352" s="4">
        <v>6.3</v>
      </c>
      <c r="BK352" s="4">
        <v>27.3</v>
      </c>
      <c r="BL352" s="4" t="s">
        <v>813</v>
      </c>
      <c r="BM352" s="4" t="s">
        <v>812</v>
      </c>
    </row>
    <row r="353" spans="4:65">
      <c r="D353" s="17" t="str">
        <f t="shared" si="103"/>
        <v>ErgänzungsfuttermittelKatzeAndere Supplemente</v>
      </c>
      <c r="E353" s="4" t="s">
        <v>91</v>
      </c>
      <c r="F353" s="19" t="s">
        <v>90</v>
      </c>
      <c r="G353" s="4" t="s">
        <v>93</v>
      </c>
      <c r="L353" s="4" t="s">
        <v>1282</v>
      </c>
      <c r="M353">
        <f t="shared" si="104"/>
        <v>25.4</v>
      </c>
      <c r="N353">
        <f t="shared" si="105"/>
        <v>11.9</v>
      </c>
      <c r="P353">
        <f t="shared" si="106"/>
        <v>1.5</v>
      </c>
      <c r="R353">
        <f t="shared" si="102"/>
        <v>3.7</v>
      </c>
      <c r="U353" s="33" t="str">
        <f t="shared" si="100"/>
        <v/>
      </c>
      <c r="AF353" s="4">
        <f t="shared" si="108"/>
        <v>0</v>
      </c>
      <c r="AL353" s="4">
        <f t="shared" si="101"/>
        <v>0</v>
      </c>
      <c r="BA353" s="4">
        <v>199.44</v>
      </c>
      <c r="BB353" s="4">
        <v>0.5</v>
      </c>
      <c r="BC353" s="4" t="s">
        <v>1282</v>
      </c>
      <c r="BD353" s="4" t="s">
        <v>1276</v>
      </c>
      <c r="BE353" s="4" t="s">
        <v>91</v>
      </c>
      <c r="BF353" s="4">
        <v>25.4</v>
      </c>
      <c r="BG353" s="4">
        <v>11.9</v>
      </c>
      <c r="BI353" s="4">
        <v>1.5</v>
      </c>
      <c r="BK353" s="4">
        <v>3.7</v>
      </c>
      <c r="BL353" s="4" t="s">
        <v>1284</v>
      </c>
      <c r="BM353" s="4" t="s">
        <v>1283</v>
      </c>
    </row>
    <row r="354" spans="4:65">
      <c r="D354" s="17" t="str">
        <f t="shared" si="103"/>
        <v>ErgänzungsfuttermittelKatzeAndere Supplemente</v>
      </c>
      <c r="E354" s="4" t="s">
        <v>91</v>
      </c>
      <c r="F354" s="19" t="s">
        <v>90</v>
      </c>
      <c r="G354" s="4" t="s">
        <v>93</v>
      </c>
      <c r="L354" s="4" t="s">
        <v>1306</v>
      </c>
      <c r="M354">
        <f t="shared" si="104"/>
        <v>2</v>
      </c>
      <c r="N354">
        <f t="shared" si="105"/>
        <v>21.4</v>
      </c>
      <c r="P354">
        <f t="shared" si="106"/>
        <v>0.8</v>
      </c>
      <c r="R354">
        <f t="shared" si="102"/>
        <v>0</v>
      </c>
      <c r="U354" s="33" t="str">
        <f t="shared" si="100"/>
        <v/>
      </c>
      <c r="AF354" s="4">
        <f t="shared" si="108"/>
        <v>0</v>
      </c>
      <c r="AL354" s="4">
        <f t="shared" si="101"/>
        <v>0</v>
      </c>
      <c r="BB354" s="4">
        <v>3.75</v>
      </c>
      <c r="BC354" s="4" t="s">
        <v>1307</v>
      </c>
      <c r="BD354" s="4" t="s">
        <v>1285</v>
      </c>
      <c r="BE354" s="4" t="s">
        <v>91</v>
      </c>
      <c r="BF354" s="4">
        <v>2</v>
      </c>
      <c r="BG354" s="4">
        <v>21.4</v>
      </c>
      <c r="BI354" s="4">
        <v>0.8</v>
      </c>
      <c r="BK354" s="4">
        <v>0</v>
      </c>
      <c r="BL354" s="4" t="s">
        <v>1309</v>
      </c>
      <c r="BM354" s="4" t="s">
        <v>1308</v>
      </c>
    </row>
    <row r="355" spans="4:65">
      <c r="D355" s="17" t="str">
        <f t="shared" si="103"/>
        <v>ErgänzungsfuttermittelKatzeAndere Supplemente</v>
      </c>
      <c r="E355" s="4" t="s">
        <v>91</v>
      </c>
      <c r="F355" s="19" t="s">
        <v>90</v>
      </c>
      <c r="G355" s="4" t="s">
        <v>93</v>
      </c>
      <c r="L355" s="4" t="s">
        <v>1316</v>
      </c>
      <c r="M355">
        <f t="shared" si="104"/>
        <v>0.9</v>
      </c>
      <c r="N355">
        <f t="shared" si="105"/>
        <v>1.7</v>
      </c>
      <c r="P355">
        <f t="shared" si="106"/>
        <v>0.5</v>
      </c>
      <c r="R355">
        <f t="shared" si="102"/>
        <v>63.7</v>
      </c>
      <c r="U355" s="33" t="str">
        <f t="shared" si="100"/>
        <v/>
      </c>
      <c r="AF355" s="4">
        <f t="shared" si="108"/>
        <v>0</v>
      </c>
      <c r="AL355" s="4">
        <f t="shared" si="101"/>
        <v>0</v>
      </c>
      <c r="BA355" s="4">
        <v>114.95</v>
      </c>
      <c r="BB355" s="4">
        <v>3</v>
      </c>
      <c r="BC355" s="4" t="s">
        <v>1316</v>
      </c>
      <c r="BD355" s="4" t="s">
        <v>1285</v>
      </c>
      <c r="BE355" s="4" t="s">
        <v>91</v>
      </c>
      <c r="BF355" s="4">
        <v>0.9</v>
      </c>
      <c r="BG355" s="4">
        <v>1.7</v>
      </c>
      <c r="BI355" s="4">
        <v>0.5</v>
      </c>
      <c r="BK355" s="4">
        <v>63.7</v>
      </c>
      <c r="BL355" s="4" t="s">
        <v>1318</v>
      </c>
      <c r="BM355" s="4" t="s">
        <v>1317</v>
      </c>
    </row>
    <row r="356" spans="4:65">
      <c r="D356" s="17" t="str">
        <f t="shared" si="103"/>
        <v>ErgänzungsfuttermittelKatzeAndere Supplemente</v>
      </c>
      <c r="E356" s="4" t="s">
        <v>91</v>
      </c>
      <c r="F356" s="19" t="s">
        <v>90</v>
      </c>
      <c r="G356" s="4" t="s">
        <v>93</v>
      </c>
      <c r="L356" s="4" t="s">
        <v>1319</v>
      </c>
      <c r="M356">
        <f t="shared" si="104"/>
        <v>7.6</v>
      </c>
      <c r="N356">
        <f t="shared" si="105"/>
        <v>26.6</v>
      </c>
      <c r="P356">
        <f t="shared" si="106"/>
        <v>2</v>
      </c>
      <c r="R356">
        <f t="shared" si="102"/>
        <v>6.1</v>
      </c>
      <c r="S356" s="4">
        <v>1600</v>
      </c>
      <c r="T356" s="4">
        <v>1100</v>
      </c>
      <c r="U356" s="33">
        <f t="shared" si="100"/>
        <v>1.4545454545454546</v>
      </c>
      <c r="V356" s="4">
        <v>100</v>
      </c>
      <c r="W356" s="4">
        <v>100</v>
      </c>
      <c r="X356" s="4">
        <v>100</v>
      </c>
      <c r="Y356" s="4">
        <v>100</v>
      </c>
      <c r="AF356" s="4">
        <f t="shared" si="108"/>
        <v>0</v>
      </c>
      <c r="AL356" s="4">
        <f t="shared" si="101"/>
        <v>0</v>
      </c>
      <c r="BC356" s="4" t="s">
        <v>1319</v>
      </c>
      <c r="BD356" s="4" t="s">
        <v>1285</v>
      </c>
      <c r="BE356" s="4" t="s">
        <v>91</v>
      </c>
      <c r="BF356" s="4">
        <v>7.6</v>
      </c>
      <c r="BG356" s="4">
        <v>26.6</v>
      </c>
      <c r="BI356" s="4">
        <v>2</v>
      </c>
      <c r="BK356" s="4">
        <v>6.1</v>
      </c>
      <c r="BL356" s="4" t="s">
        <v>1321</v>
      </c>
      <c r="BM356" s="4" t="s">
        <v>1320</v>
      </c>
    </row>
    <row r="357" spans="4:65">
      <c r="D357" s="17" t="str">
        <f t="shared" si="103"/>
        <v>ErgänzungsfuttermittelKatzeAndere Supplemente</v>
      </c>
      <c r="E357" s="4" t="s">
        <v>91</v>
      </c>
      <c r="F357" s="19" t="s">
        <v>90</v>
      </c>
      <c r="G357" s="4" t="s">
        <v>93</v>
      </c>
      <c r="L357" s="4" t="s">
        <v>1347</v>
      </c>
      <c r="M357">
        <f t="shared" si="104"/>
        <v>5.0999999999999996</v>
      </c>
      <c r="N357">
        <f t="shared" si="105"/>
        <v>32.700000000000003</v>
      </c>
      <c r="P357">
        <f t="shared" si="106"/>
        <v>3.2</v>
      </c>
      <c r="R357">
        <f t="shared" si="102"/>
        <v>9.6999999999999993</v>
      </c>
      <c r="S357" s="4">
        <v>500</v>
      </c>
      <c r="T357" s="4">
        <v>200</v>
      </c>
      <c r="U357" s="33">
        <f t="shared" si="100"/>
        <v>2.5</v>
      </c>
      <c r="V357" s="4">
        <v>200</v>
      </c>
      <c r="W357" s="4">
        <v>500</v>
      </c>
      <c r="X357" s="4">
        <v>200</v>
      </c>
      <c r="Y357" s="4">
        <v>700</v>
      </c>
      <c r="AF357" s="4">
        <f t="shared" si="108"/>
        <v>0</v>
      </c>
      <c r="AL357" s="4">
        <f t="shared" si="101"/>
        <v>0</v>
      </c>
      <c r="AZ357" s="4">
        <v>5000</v>
      </c>
      <c r="BB357" s="4">
        <v>0.45</v>
      </c>
      <c r="BC357" s="4" t="s">
        <v>1347</v>
      </c>
      <c r="BD357" s="4" t="s">
        <v>1285</v>
      </c>
      <c r="BE357" s="4" t="s">
        <v>91</v>
      </c>
      <c r="BF357" s="4">
        <v>5.0999999999999996</v>
      </c>
      <c r="BG357" s="4">
        <v>32.700000000000003</v>
      </c>
      <c r="BI357" s="4">
        <v>3.2</v>
      </c>
      <c r="BK357" s="4">
        <v>9.6999999999999993</v>
      </c>
      <c r="BL357" s="4" t="s">
        <v>1349</v>
      </c>
      <c r="BM357" s="4" t="s">
        <v>1348</v>
      </c>
    </row>
    <row r="358" spans="4:65">
      <c r="D358" s="17" t="str">
        <f t="shared" si="103"/>
        <v>ErgänzungsfuttermittelKatzeAndere Supplemente</v>
      </c>
      <c r="E358" s="4" t="s">
        <v>91</v>
      </c>
      <c r="F358" s="19" t="s">
        <v>90</v>
      </c>
      <c r="G358" s="4" t="s">
        <v>93</v>
      </c>
      <c r="L358" s="4" t="s">
        <v>1353</v>
      </c>
      <c r="M358">
        <f t="shared" si="104"/>
        <v>5.7</v>
      </c>
      <c r="N358">
        <f t="shared" si="105"/>
        <v>6.2</v>
      </c>
      <c r="P358">
        <f t="shared" si="106"/>
        <v>1.4</v>
      </c>
      <c r="R358">
        <f t="shared" si="102"/>
        <v>68.5</v>
      </c>
      <c r="U358" s="33" t="str">
        <f t="shared" si="100"/>
        <v/>
      </c>
      <c r="AF358" s="4">
        <f t="shared" si="108"/>
        <v>0</v>
      </c>
      <c r="AL358" s="4">
        <f t="shared" si="101"/>
        <v>0</v>
      </c>
      <c r="BA358" s="4">
        <v>294.8</v>
      </c>
      <c r="BB358" s="4">
        <v>2</v>
      </c>
      <c r="BC358" s="4" t="s">
        <v>1353</v>
      </c>
      <c r="BD358" s="4" t="s">
        <v>1285</v>
      </c>
      <c r="BE358" s="4" t="s">
        <v>91</v>
      </c>
      <c r="BF358" s="4">
        <v>5.7</v>
      </c>
      <c r="BG358" s="4">
        <v>6.2</v>
      </c>
      <c r="BI358" s="4">
        <v>1.4</v>
      </c>
      <c r="BK358" s="4">
        <v>68.5</v>
      </c>
      <c r="BL358" s="4" t="s">
        <v>1355</v>
      </c>
      <c r="BM358" s="4" t="s">
        <v>1354</v>
      </c>
    </row>
    <row r="359" spans="4:65">
      <c r="D359" s="17" t="str">
        <f t="shared" si="103"/>
        <v>ErgänzungsfuttermittelKatzeAndere Supplemente</v>
      </c>
      <c r="E359" s="4" t="s">
        <v>91</v>
      </c>
      <c r="F359" s="19" t="s">
        <v>90</v>
      </c>
      <c r="G359" s="4" t="s">
        <v>93</v>
      </c>
      <c r="L359" s="4" t="s">
        <v>1379</v>
      </c>
      <c r="M359">
        <f t="shared" si="104"/>
        <v>8</v>
      </c>
      <c r="N359">
        <f t="shared" si="105"/>
        <v>9</v>
      </c>
      <c r="P359">
        <f t="shared" si="106"/>
        <v>1</v>
      </c>
      <c r="R359">
        <f t="shared" si="102"/>
        <v>6</v>
      </c>
      <c r="U359" s="33" t="str">
        <f t="shared" si="100"/>
        <v/>
      </c>
      <c r="AF359" s="4">
        <f t="shared" si="108"/>
        <v>0</v>
      </c>
      <c r="AL359" s="4">
        <f t="shared" si="101"/>
        <v>0</v>
      </c>
      <c r="BB359" s="4">
        <v>2</v>
      </c>
      <c r="BC359" s="4" t="s">
        <v>1379</v>
      </c>
      <c r="BD359" s="4" t="s">
        <v>1372</v>
      </c>
      <c r="BE359" s="4" t="s">
        <v>91</v>
      </c>
      <c r="BF359" s="4">
        <v>8</v>
      </c>
      <c r="BG359" s="4">
        <v>9</v>
      </c>
      <c r="BI359" s="4">
        <v>1</v>
      </c>
      <c r="BK359" s="4">
        <v>6</v>
      </c>
      <c r="BL359" s="4" t="s">
        <v>1381</v>
      </c>
      <c r="BM359" s="4" t="s">
        <v>1380</v>
      </c>
    </row>
    <row r="360" spans="4:65" ht="11.5" customHeight="1">
      <c r="D360" s="17" t="str">
        <f t="shared" si="103"/>
        <v>ErgänzungsfuttermittelKatzeAndere Supplemente</v>
      </c>
      <c r="E360" s="4" t="s">
        <v>91</v>
      </c>
      <c r="F360" s="19" t="s">
        <v>90</v>
      </c>
      <c r="G360" s="4" t="s">
        <v>93</v>
      </c>
      <c r="L360" s="4" t="s">
        <v>1392</v>
      </c>
      <c r="M360">
        <f t="shared" si="104"/>
        <v>17</v>
      </c>
      <c r="N360">
        <f t="shared" si="105"/>
        <v>16</v>
      </c>
      <c r="P360">
        <f t="shared" si="106"/>
        <v>2</v>
      </c>
      <c r="R360">
        <f t="shared" si="102"/>
        <v>6</v>
      </c>
      <c r="U360" s="33" t="str">
        <f t="shared" si="100"/>
        <v/>
      </c>
      <c r="AF360" s="4">
        <f t="shared" si="108"/>
        <v>0</v>
      </c>
      <c r="AL360" s="4">
        <f t="shared" si="101"/>
        <v>0</v>
      </c>
      <c r="BB360" s="4">
        <v>2</v>
      </c>
      <c r="BC360" s="4" t="s">
        <v>1392</v>
      </c>
      <c r="BD360" s="4" t="s">
        <v>1372</v>
      </c>
      <c r="BE360" s="4" t="s">
        <v>91</v>
      </c>
      <c r="BF360" s="4">
        <v>17</v>
      </c>
      <c r="BG360" s="4">
        <v>16</v>
      </c>
      <c r="BI360" s="4">
        <v>2</v>
      </c>
      <c r="BK360" s="4">
        <v>6</v>
      </c>
      <c r="BL360" s="4" t="s">
        <v>1394</v>
      </c>
      <c r="BM360" s="4" t="s">
        <v>1393</v>
      </c>
    </row>
    <row r="361" spans="4:65">
      <c r="D361" s="17" t="str">
        <f t="shared" si="103"/>
        <v>ErgänzungsfuttermittelKatzeAndere Supplemente</v>
      </c>
      <c r="E361" s="4" t="s">
        <v>91</v>
      </c>
      <c r="F361" s="19" t="s">
        <v>90</v>
      </c>
      <c r="G361" s="4" t="s">
        <v>93</v>
      </c>
      <c r="L361" s="4" t="s">
        <v>1398</v>
      </c>
      <c r="M361">
        <f t="shared" si="104"/>
        <v>17</v>
      </c>
      <c r="N361">
        <f t="shared" si="105"/>
        <v>16</v>
      </c>
      <c r="P361">
        <f t="shared" si="106"/>
        <v>2</v>
      </c>
      <c r="R361">
        <f t="shared" si="102"/>
        <v>6</v>
      </c>
      <c r="U361" s="33" t="str">
        <f t="shared" si="100"/>
        <v/>
      </c>
      <c r="AF361" s="4">
        <f t="shared" si="108"/>
        <v>0</v>
      </c>
      <c r="AL361" s="4">
        <f t="shared" si="101"/>
        <v>0</v>
      </c>
      <c r="BB361" s="4">
        <v>2</v>
      </c>
      <c r="BC361" s="4" t="s">
        <v>1398</v>
      </c>
      <c r="BD361" s="4" t="s">
        <v>1372</v>
      </c>
      <c r="BE361" s="4" t="s">
        <v>91</v>
      </c>
      <c r="BF361" s="4">
        <v>17</v>
      </c>
      <c r="BG361" s="4">
        <v>16</v>
      </c>
      <c r="BI361" s="4">
        <v>2</v>
      </c>
      <c r="BK361" s="4">
        <v>6</v>
      </c>
      <c r="BL361" s="4" t="s">
        <v>1394</v>
      </c>
      <c r="BM361" s="4" t="s">
        <v>1399</v>
      </c>
    </row>
    <row r="362" spans="4:65">
      <c r="D362" s="17" t="str">
        <f t="shared" si="103"/>
        <v>ErgänzungsfuttermittelKatzeAndere Supplemente</v>
      </c>
      <c r="E362" s="4" t="s">
        <v>91</v>
      </c>
      <c r="F362" s="19" t="s">
        <v>90</v>
      </c>
      <c r="G362" s="4" t="s">
        <v>93</v>
      </c>
      <c r="L362" s="4" t="s">
        <v>1417</v>
      </c>
      <c r="M362">
        <f t="shared" si="104"/>
        <v>10.6</v>
      </c>
      <c r="N362">
        <f t="shared" si="105"/>
        <v>23.5</v>
      </c>
      <c r="P362">
        <f t="shared" si="106"/>
        <v>2.2000000000000002</v>
      </c>
      <c r="R362">
        <f t="shared" si="102"/>
        <v>17.100000000000001</v>
      </c>
      <c r="U362" s="33" t="str">
        <f t="shared" si="100"/>
        <v/>
      </c>
      <c r="AF362" s="4">
        <f t="shared" si="108"/>
        <v>0</v>
      </c>
      <c r="AL362" s="4">
        <f t="shared" si="101"/>
        <v>0</v>
      </c>
      <c r="AZ362" s="4">
        <v>2000</v>
      </c>
      <c r="BA362" s="4">
        <v>169</v>
      </c>
      <c r="BB362" s="4">
        <v>0.8</v>
      </c>
      <c r="BC362" s="4" t="s">
        <v>1417</v>
      </c>
      <c r="BD362" s="4" t="s">
        <v>1415</v>
      </c>
      <c r="BE362" s="4" t="s">
        <v>91</v>
      </c>
      <c r="BF362" s="4">
        <v>10.6</v>
      </c>
      <c r="BG362" s="4">
        <v>23.5</v>
      </c>
      <c r="BI362" s="4">
        <v>2.2000000000000002</v>
      </c>
      <c r="BK362" s="4">
        <v>17.100000000000001</v>
      </c>
      <c r="BL362" s="4" t="s">
        <v>1419</v>
      </c>
      <c r="BM362" s="4" t="s">
        <v>1418</v>
      </c>
    </row>
    <row r="363" spans="4:65">
      <c r="D363" s="17" t="str">
        <f t="shared" si="103"/>
        <v>ErgänzungsfuttermittelKatzeAndere Supplemente</v>
      </c>
      <c r="E363" s="4" t="s">
        <v>91</v>
      </c>
      <c r="F363" s="19" t="s">
        <v>90</v>
      </c>
      <c r="G363" s="4" t="s">
        <v>93</v>
      </c>
      <c r="L363" s="4" t="s">
        <v>1431</v>
      </c>
      <c r="M363">
        <f t="shared" si="104"/>
        <v>1.2</v>
      </c>
      <c r="N363">
        <f t="shared" si="105"/>
        <v>2.8</v>
      </c>
      <c r="P363">
        <f t="shared" si="106"/>
        <v>0.2</v>
      </c>
      <c r="R363">
        <f t="shared" si="102"/>
        <v>1</v>
      </c>
      <c r="U363" s="33" t="str">
        <f t="shared" si="100"/>
        <v/>
      </c>
      <c r="AF363" s="4">
        <f t="shared" si="108"/>
        <v>0</v>
      </c>
      <c r="AL363" s="4">
        <f t="shared" si="101"/>
        <v>0</v>
      </c>
      <c r="BA363" s="4">
        <v>338</v>
      </c>
      <c r="BB363" s="4">
        <v>1</v>
      </c>
      <c r="BC363" s="4" t="s">
        <v>1431</v>
      </c>
      <c r="BD363" s="4" t="s">
        <v>1415</v>
      </c>
      <c r="BE363" s="4" t="s">
        <v>91</v>
      </c>
      <c r="BF363" s="4">
        <v>1.2</v>
      </c>
      <c r="BG363" s="4">
        <v>2.8</v>
      </c>
      <c r="BI363" s="4">
        <v>0.2</v>
      </c>
      <c r="BK363" s="4">
        <v>1</v>
      </c>
      <c r="BL363" s="4" t="s">
        <v>1433</v>
      </c>
      <c r="BM363" s="4" t="s">
        <v>1432</v>
      </c>
    </row>
    <row r="364" spans="4:65">
      <c r="D364" s="17" t="str">
        <f t="shared" si="103"/>
        <v>ErgänzungsfuttermittelKatzeAndere Supplemente</v>
      </c>
      <c r="E364" s="4" t="s">
        <v>91</v>
      </c>
      <c r="F364" s="19" t="s">
        <v>90</v>
      </c>
      <c r="G364" s="4" t="s">
        <v>93</v>
      </c>
      <c r="L364" s="4" t="s">
        <v>1434</v>
      </c>
      <c r="M364">
        <f t="shared" si="104"/>
        <v>0.6</v>
      </c>
      <c r="N364">
        <f t="shared" si="105"/>
        <v>0.5</v>
      </c>
      <c r="P364">
        <f t="shared" si="106"/>
        <v>1</v>
      </c>
      <c r="R364">
        <f t="shared" si="102"/>
        <v>0.3</v>
      </c>
      <c r="U364" s="33" t="str">
        <f t="shared" si="100"/>
        <v/>
      </c>
      <c r="AF364" s="4">
        <f t="shared" si="108"/>
        <v>0</v>
      </c>
      <c r="AL364" s="4">
        <f t="shared" si="101"/>
        <v>0</v>
      </c>
      <c r="BA364" s="4">
        <v>338</v>
      </c>
      <c r="BC364" s="4" t="s">
        <v>1434</v>
      </c>
      <c r="BD364" s="4" t="s">
        <v>1415</v>
      </c>
      <c r="BE364" s="4" t="s">
        <v>91</v>
      </c>
      <c r="BF364" s="4">
        <v>0.6</v>
      </c>
      <c r="BG364" s="4">
        <v>0.5</v>
      </c>
      <c r="BI364" s="4">
        <v>1</v>
      </c>
      <c r="BK364" s="4">
        <v>0.3</v>
      </c>
      <c r="BL364" s="4" t="s">
        <v>1436</v>
      </c>
      <c r="BM364" s="4" t="s">
        <v>1435</v>
      </c>
    </row>
    <row r="365" spans="4:65">
      <c r="D365" s="17" t="str">
        <f t="shared" si="103"/>
        <v>ErgänzungsfuttermittelKatzeAndere Supplemente</v>
      </c>
      <c r="E365" s="4" t="s">
        <v>91</v>
      </c>
      <c r="F365" s="19" t="s">
        <v>90</v>
      </c>
      <c r="G365" s="4" t="s">
        <v>93</v>
      </c>
      <c r="L365" s="4" t="s">
        <v>329</v>
      </c>
      <c r="M365">
        <f t="shared" si="104"/>
        <v>4.82</v>
      </c>
      <c r="N365">
        <f t="shared" si="105"/>
        <v>55.06</v>
      </c>
      <c r="P365">
        <f t="shared" si="106"/>
        <v>10.75</v>
      </c>
      <c r="R365">
        <f t="shared" si="102"/>
        <v>2.44</v>
      </c>
      <c r="U365" s="33" t="str">
        <f t="shared" si="100"/>
        <v/>
      </c>
      <c r="AF365" s="4">
        <f t="shared" si="108"/>
        <v>0</v>
      </c>
      <c r="AL365" s="4">
        <f t="shared" si="101"/>
        <v>0</v>
      </c>
      <c r="AZ365" s="4">
        <v>20000</v>
      </c>
      <c r="BA365" s="4">
        <v>281.67</v>
      </c>
      <c r="BB365" s="4">
        <v>1</v>
      </c>
      <c r="BC365" s="4" t="s">
        <v>329</v>
      </c>
      <c r="BD365" s="4" t="s">
        <v>1415</v>
      </c>
      <c r="BE365" s="4" t="s">
        <v>91</v>
      </c>
      <c r="BF365" s="4">
        <v>4.82</v>
      </c>
      <c r="BG365" s="4">
        <v>55.06</v>
      </c>
      <c r="BI365" s="4">
        <v>10.75</v>
      </c>
      <c r="BK365" s="4">
        <v>2.44</v>
      </c>
      <c r="BL365" s="4" t="s">
        <v>1438</v>
      </c>
      <c r="BM365" s="4" t="s">
        <v>1437</v>
      </c>
    </row>
    <row r="366" spans="4:65">
      <c r="D366" s="17" t="str">
        <f t="shared" si="103"/>
        <v>ErgänzungsfuttermittelKatzeAndere Supplemente</v>
      </c>
      <c r="E366" s="4" t="s">
        <v>91</v>
      </c>
      <c r="F366" s="19" t="s">
        <v>90</v>
      </c>
      <c r="G366" s="4" t="s">
        <v>93</v>
      </c>
      <c r="L366" s="4" t="s">
        <v>1439</v>
      </c>
      <c r="M366">
        <f t="shared" si="104"/>
        <v>7.6</v>
      </c>
      <c r="N366">
        <f t="shared" si="105"/>
        <v>31.5</v>
      </c>
      <c r="P366">
        <f t="shared" si="106"/>
        <v>3.2</v>
      </c>
      <c r="R366">
        <f t="shared" si="102"/>
        <v>11.1</v>
      </c>
      <c r="U366" s="33" t="str">
        <f t="shared" si="100"/>
        <v/>
      </c>
      <c r="AF366" s="4">
        <f t="shared" si="108"/>
        <v>0</v>
      </c>
      <c r="AL366" s="4">
        <f t="shared" si="101"/>
        <v>0</v>
      </c>
      <c r="BA366" s="4">
        <v>338</v>
      </c>
      <c r="BB366" s="4">
        <v>0.6</v>
      </c>
      <c r="BC366" s="4" t="s">
        <v>1439</v>
      </c>
      <c r="BD366" s="4" t="s">
        <v>1415</v>
      </c>
      <c r="BE366" s="4" t="s">
        <v>91</v>
      </c>
      <c r="BF366" s="4">
        <v>7.6</v>
      </c>
      <c r="BG366" s="4">
        <v>31.5</v>
      </c>
      <c r="BI366" s="4">
        <v>3.2</v>
      </c>
      <c r="BK366" s="4">
        <v>11.1</v>
      </c>
      <c r="BL366" s="4" t="s">
        <v>1441</v>
      </c>
      <c r="BM366" s="4" t="s">
        <v>1440</v>
      </c>
    </row>
    <row r="367" spans="4:65">
      <c r="D367" s="17" t="str">
        <f t="shared" si="103"/>
        <v>ErgänzungsfuttermittelKatzeAndere Supplemente</v>
      </c>
      <c r="E367" s="4" t="s">
        <v>91</v>
      </c>
      <c r="F367" s="19" t="s">
        <v>90</v>
      </c>
      <c r="G367" s="4" t="s">
        <v>93</v>
      </c>
      <c r="L367" s="4" t="s">
        <v>1442</v>
      </c>
      <c r="M367">
        <f t="shared" si="104"/>
        <v>12.02</v>
      </c>
      <c r="N367">
        <f t="shared" si="105"/>
        <v>67.58</v>
      </c>
      <c r="P367">
        <f t="shared" si="106"/>
        <v>0.49</v>
      </c>
      <c r="R367">
        <f t="shared" si="102"/>
        <v>3.64</v>
      </c>
      <c r="U367" s="33" t="str">
        <f t="shared" si="100"/>
        <v/>
      </c>
      <c r="AF367" s="4">
        <f t="shared" si="108"/>
        <v>0</v>
      </c>
      <c r="AL367" s="4">
        <f t="shared" si="101"/>
        <v>0</v>
      </c>
      <c r="AZ367" s="4">
        <v>10000</v>
      </c>
      <c r="BA367" s="4">
        <v>315</v>
      </c>
      <c r="BB367" s="4">
        <v>0.5</v>
      </c>
      <c r="BC367" s="4" t="s">
        <v>1442</v>
      </c>
      <c r="BD367" s="4" t="s">
        <v>1415</v>
      </c>
      <c r="BE367" s="4" t="s">
        <v>91</v>
      </c>
      <c r="BF367" s="4">
        <v>12.02</v>
      </c>
      <c r="BG367" s="4">
        <v>67.58</v>
      </c>
      <c r="BI367" s="4">
        <v>0.49</v>
      </c>
      <c r="BK367" s="4">
        <v>3.64</v>
      </c>
      <c r="BL367" s="4" t="s">
        <v>1444</v>
      </c>
      <c r="BM367" s="4" t="s">
        <v>1443</v>
      </c>
    </row>
    <row r="368" spans="4:65">
      <c r="D368" s="17" t="str">
        <f t="shared" si="103"/>
        <v>ErgänzungsfuttermittelKatzeAndere Supplemente</v>
      </c>
      <c r="E368" s="4" t="s">
        <v>91</v>
      </c>
      <c r="F368" s="19" t="s">
        <v>90</v>
      </c>
      <c r="G368" s="4" t="s">
        <v>93</v>
      </c>
      <c r="L368" s="4" t="s">
        <v>1445</v>
      </c>
      <c r="M368">
        <f t="shared" si="104"/>
        <v>13.07</v>
      </c>
      <c r="N368">
        <f t="shared" si="105"/>
        <v>67.2</v>
      </c>
      <c r="P368">
        <f t="shared" si="106"/>
        <v>0.5</v>
      </c>
      <c r="R368">
        <f t="shared" si="102"/>
        <v>3.53</v>
      </c>
      <c r="U368" s="33" t="str">
        <f t="shared" si="100"/>
        <v/>
      </c>
      <c r="AF368" s="4">
        <f t="shared" si="108"/>
        <v>0</v>
      </c>
      <c r="AL368" s="4">
        <f t="shared" si="101"/>
        <v>0</v>
      </c>
      <c r="AZ368" s="4">
        <v>10000</v>
      </c>
      <c r="BA368" s="4">
        <v>338</v>
      </c>
      <c r="BB368" s="4">
        <v>0.5</v>
      </c>
      <c r="BC368" s="4" t="s">
        <v>1445</v>
      </c>
      <c r="BD368" s="4" t="s">
        <v>1415</v>
      </c>
      <c r="BE368" s="4" t="s">
        <v>91</v>
      </c>
      <c r="BF368" s="4">
        <v>13.07</v>
      </c>
      <c r="BG368" s="4">
        <v>67.2</v>
      </c>
      <c r="BI368" s="4">
        <v>0.5</v>
      </c>
      <c r="BK368" s="4">
        <v>3.53</v>
      </c>
      <c r="BL368" s="4" t="s">
        <v>1447</v>
      </c>
      <c r="BM368" s="4" t="s">
        <v>1446</v>
      </c>
    </row>
    <row r="369" spans="4:65">
      <c r="D369" s="17" t="str">
        <f t="shared" si="103"/>
        <v>ErgänzungsfuttermittelKatzeAndere Supplemente</v>
      </c>
      <c r="E369" s="4" t="s">
        <v>91</v>
      </c>
      <c r="F369" s="19" t="s">
        <v>90</v>
      </c>
      <c r="G369" s="4" t="s">
        <v>93</v>
      </c>
      <c r="L369" s="4" t="s">
        <v>1448</v>
      </c>
      <c r="M369">
        <f t="shared" si="104"/>
        <v>8.23</v>
      </c>
      <c r="N369">
        <f t="shared" si="105"/>
        <v>13.59</v>
      </c>
      <c r="P369">
        <f t="shared" si="106"/>
        <v>1.92</v>
      </c>
      <c r="R369">
        <f t="shared" si="102"/>
        <v>26.44</v>
      </c>
      <c r="U369" s="33" t="str">
        <f t="shared" si="100"/>
        <v/>
      </c>
      <c r="AF369" s="4">
        <f t="shared" si="108"/>
        <v>0</v>
      </c>
      <c r="AL369" s="4">
        <f t="shared" si="101"/>
        <v>0</v>
      </c>
      <c r="BA369" s="4">
        <v>278</v>
      </c>
      <c r="BB369" s="4">
        <v>0.5</v>
      </c>
      <c r="BC369" s="4" t="s">
        <v>1448</v>
      </c>
      <c r="BD369" s="4" t="s">
        <v>1415</v>
      </c>
      <c r="BE369" s="4" t="s">
        <v>91</v>
      </c>
      <c r="BF369" s="4">
        <v>8.23</v>
      </c>
      <c r="BG369" s="4">
        <v>13.59</v>
      </c>
      <c r="BI369" s="4">
        <v>1.92</v>
      </c>
      <c r="BK369" s="4">
        <v>26.44</v>
      </c>
      <c r="BL369" s="4" t="s">
        <v>1450</v>
      </c>
      <c r="BM369" s="4" t="s">
        <v>1449</v>
      </c>
    </row>
    <row r="370" spans="4:65">
      <c r="D370" s="17" t="str">
        <f t="shared" si="103"/>
        <v>ErgänzungsfuttermittelKatzeAndere Supplemente</v>
      </c>
      <c r="E370" s="4" t="s">
        <v>91</v>
      </c>
      <c r="F370" s="19" t="s">
        <v>90</v>
      </c>
      <c r="G370" s="4" t="s">
        <v>93</v>
      </c>
      <c r="L370" s="4" t="s">
        <v>1456</v>
      </c>
      <c r="M370">
        <f t="shared" si="104"/>
        <v>0.5</v>
      </c>
      <c r="N370">
        <f t="shared" si="105"/>
        <v>0.3</v>
      </c>
      <c r="P370">
        <f t="shared" si="106"/>
        <v>0.3</v>
      </c>
      <c r="R370">
        <f t="shared" si="102"/>
        <v>0.5</v>
      </c>
      <c r="U370" s="33" t="str">
        <f t="shared" si="100"/>
        <v/>
      </c>
      <c r="AF370" s="4">
        <f t="shared" si="108"/>
        <v>0</v>
      </c>
      <c r="AL370" s="4">
        <f t="shared" si="101"/>
        <v>0</v>
      </c>
      <c r="BA370" s="4">
        <v>144.55000000000001</v>
      </c>
      <c r="BC370" s="4" t="s">
        <v>1456</v>
      </c>
      <c r="BD370" s="4" t="s">
        <v>1415</v>
      </c>
      <c r="BE370" s="4" t="s">
        <v>91</v>
      </c>
      <c r="BF370" s="4">
        <v>0.5</v>
      </c>
      <c r="BG370" s="4">
        <v>0.3</v>
      </c>
      <c r="BI370" s="4">
        <v>0.3</v>
      </c>
      <c r="BK370" s="4">
        <v>0.5</v>
      </c>
      <c r="BL370" s="4" t="s">
        <v>1458</v>
      </c>
      <c r="BM370" s="4" t="s">
        <v>1457</v>
      </c>
    </row>
    <row r="371" spans="4:65">
      <c r="D371" s="17" t="str">
        <f t="shared" si="103"/>
        <v>ErgänzungsfuttermittelKatzeAndere Supplemente</v>
      </c>
      <c r="E371" s="4" t="s">
        <v>91</v>
      </c>
      <c r="F371" s="19" t="s">
        <v>90</v>
      </c>
      <c r="G371" s="4" t="s">
        <v>93</v>
      </c>
      <c r="L371" s="4" t="s">
        <v>1459</v>
      </c>
      <c r="M371">
        <f t="shared" si="104"/>
        <v>0.5</v>
      </c>
      <c r="N371">
        <f t="shared" si="105"/>
        <v>0.3</v>
      </c>
      <c r="P371">
        <f t="shared" si="106"/>
        <v>0.3</v>
      </c>
      <c r="R371">
        <f t="shared" si="102"/>
        <v>0.5</v>
      </c>
      <c r="U371" s="33" t="str">
        <f t="shared" si="100"/>
        <v/>
      </c>
      <c r="AF371" s="4">
        <f t="shared" si="108"/>
        <v>0</v>
      </c>
      <c r="AL371" s="4">
        <f t="shared" si="101"/>
        <v>0</v>
      </c>
      <c r="BA371" s="4">
        <v>135.44999999999999</v>
      </c>
      <c r="BC371" s="4" t="s">
        <v>1459</v>
      </c>
      <c r="BD371" s="4" t="s">
        <v>1415</v>
      </c>
      <c r="BE371" s="4" t="s">
        <v>91</v>
      </c>
      <c r="BF371" s="4">
        <v>0.5</v>
      </c>
      <c r="BG371" s="4">
        <v>0.3</v>
      </c>
      <c r="BI371" s="4">
        <v>0.3</v>
      </c>
      <c r="BK371" s="4">
        <v>0.5</v>
      </c>
      <c r="BL371" s="4" t="s">
        <v>1461</v>
      </c>
      <c r="BM371" s="4" t="s">
        <v>1460</v>
      </c>
    </row>
    <row r="372" spans="4:65">
      <c r="D372" s="17" t="str">
        <f t="shared" si="103"/>
        <v>ErgänzungsfuttermittelKatzeAndere Supplemente</v>
      </c>
      <c r="E372" s="4" t="s">
        <v>91</v>
      </c>
      <c r="F372" s="19" t="s">
        <v>90</v>
      </c>
      <c r="G372" s="4" t="s">
        <v>93</v>
      </c>
      <c r="L372" s="4" t="s">
        <v>1466</v>
      </c>
      <c r="M372">
        <f t="shared" si="104"/>
        <v>5.46</v>
      </c>
      <c r="N372">
        <f t="shared" si="105"/>
        <v>24</v>
      </c>
      <c r="P372">
        <f t="shared" si="106"/>
        <v>2.11</v>
      </c>
      <c r="R372">
        <f t="shared" si="102"/>
        <v>1.49</v>
      </c>
      <c r="U372" s="33" t="str">
        <f t="shared" si="100"/>
        <v/>
      </c>
      <c r="AF372" s="4">
        <f t="shared" si="108"/>
        <v>0</v>
      </c>
      <c r="AL372" s="4">
        <f t="shared" si="101"/>
        <v>0</v>
      </c>
      <c r="BA372" s="4">
        <v>63.6</v>
      </c>
      <c r="BB372" s="4">
        <v>1</v>
      </c>
      <c r="BC372" s="4" t="s">
        <v>1466</v>
      </c>
      <c r="BD372" s="4" t="s">
        <v>1415</v>
      </c>
      <c r="BE372" s="4" t="s">
        <v>91</v>
      </c>
      <c r="BF372" s="4">
        <v>5.46</v>
      </c>
      <c r="BG372" s="4">
        <v>24</v>
      </c>
      <c r="BI372" s="4">
        <v>2.11</v>
      </c>
      <c r="BK372" s="4">
        <v>1.49</v>
      </c>
      <c r="BL372" s="4" t="s">
        <v>1468</v>
      </c>
      <c r="BM372" s="4" t="s">
        <v>1467</v>
      </c>
    </row>
    <row r="373" spans="4:65">
      <c r="D373" s="17" t="str">
        <f t="shared" si="103"/>
        <v>ErgänzungsfuttermittelKatzeAndere Supplemente</v>
      </c>
      <c r="E373" s="4" t="s">
        <v>91</v>
      </c>
      <c r="F373" s="19" t="s">
        <v>90</v>
      </c>
      <c r="G373" s="4" t="s">
        <v>93</v>
      </c>
      <c r="L373" s="4" t="s">
        <v>1473</v>
      </c>
      <c r="M373">
        <f t="shared" si="104"/>
        <v>3.3</v>
      </c>
      <c r="N373">
        <f t="shared" si="105"/>
        <v>7.1</v>
      </c>
      <c r="P373">
        <f t="shared" si="106"/>
        <v>0.5</v>
      </c>
      <c r="R373">
        <f t="shared" si="102"/>
        <v>3</v>
      </c>
      <c r="U373" s="33" t="str">
        <f t="shared" si="100"/>
        <v/>
      </c>
      <c r="AF373" s="4">
        <f t="shared" si="108"/>
        <v>0</v>
      </c>
      <c r="AL373" s="4">
        <f t="shared" si="101"/>
        <v>0</v>
      </c>
      <c r="BA373" s="4">
        <v>278</v>
      </c>
      <c r="BB373" s="4">
        <v>1</v>
      </c>
      <c r="BC373" s="4" t="s">
        <v>1474</v>
      </c>
      <c r="BD373" s="4" t="s">
        <v>1415</v>
      </c>
      <c r="BE373" s="4" t="s">
        <v>91</v>
      </c>
      <c r="BF373" s="4">
        <v>3.3</v>
      </c>
      <c r="BG373" s="4">
        <v>7.1</v>
      </c>
      <c r="BI373" s="4">
        <v>0.5</v>
      </c>
      <c r="BK373" s="4">
        <v>3</v>
      </c>
      <c r="BL373" s="4" t="s">
        <v>1476</v>
      </c>
      <c r="BM373" s="4" t="s">
        <v>1475</v>
      </c>
    </row>
    <row r="374" spans="4:65">
      <c r="D374" s="17" t="str">
        <f t="shared" si="103"/>
        <v>ErgänzungsfuttermittelKatzeAndere Supplemente</v>
      </c>
      <c r="E374" s="4" t="s">
        <v>91</v>
      </c>
      <c r="F374" s="19" t="s">
        <v>90</v>
      </c>
      <c r="G374" s="4" t="s">
        <v>93</v>
      </c>
      <c r="L374" s="4" t="s">
        <v>1483</v>
      </c>
      <c r="M374">
        <f t="shared" si="104"/>
        <v>1.26</v>
      </c>
      <c r="N374">
        <f t="shared" si="105"/>
        <v>2.91</v>
      </c>
      <c r="P374">
        <f t="shared" si="106"/>
        <v>0.14000000000000001</v>
      </c>
      <c r="R374">
        <f t="shared" si="102"/>
        <v>27.29</v>
      </c>
      <c r="U374" s="33" t="str">
        <f t="shared" si="100"/>
        <v/>
      </c>
      <c r="AF374" s="4">
        <f t="shared" si="108"/>
        <v>0</v>
      </c>
      <c r="AL374" s="4">
        <f t="shared" si="101"/>
        <v>0</v>
      </c>
      <c r="BA374" s="4">
        <v>238</v>
      </c>
      <c r="BB374" s="4">
        <v>1</v>
      </c>
      <c r="BC374" s="4" t="s">
        <v>1483</v>
      </c>
      <c r="BD374" s="4" t="s">
        <v>1415</v>
      </c>
      <c r="BE374" s="4" t="s">
        <v>91</v>
      </c>
      <c r="BF374" s="4">
        <v>1.26</v>
      </c>
      <c r="BG374" s="4">
        <v>2.91</v>
      </c>
      <c r="BI374" s="4">
        <v>0.14000000000000001</v>
      </c>
      <c r="BK374" s="4">
        <v>27.29</v>
      </c>
      <c r="BL374" s="4" t="s">
        <v>1485</v>
      </c>
      <c r="BM374" s="4" t="s">
        <v>1484</v>
      </c>
    </row>
    <row r="375" spans="4:65">
      <c r="D375" s="17" t="str">
        <f t="shared" si="103"/>
        <v>ErgänzungsfuttermittelKatzeAndere Supplemente</v>
      </c>
      <c r="E375" s="4" t="s">
        <v>91</v>
      </c>
      <c r="F375" s="19" t="s">
        <v>90</v>
      </c>
      <c r="G375" s="4" t="s">
        <v>93</v>
      </c>
      <c r="L375" s="4" t="s">
        <v>1491</v>
      </c>
      <c r="M375">
        <f t="shared" si="104"/>
        <v>0.6</v>
      </c>
      <c r="N375">
        <f t="shared" si="105"/>
        <v>0.5</v>
      </c>
      <c r="P375">
        <f t="shared" si="106"/>
        <v>1</v>
      </c>
      <c r="R375">
        <f t="shared" si="102"/>
        <v>0.3</v>
      </c>
      <c r="U375" s="33" t="str">
        <f t="shared" si="100"/>
        <v/>
      </c>
      <c r="AF375" s="4">
        <f t="shared" si="108"/>
        <v>0</v>
      </c>
      <c r="AL375" s="4">
        <f t="shared" si="101"/>
        <v>0</v>
      </c>
      <c r="BA375" s="4">
        <v>126.63</v>
      </c>
      <c r="BB375" s="4">
        <v>0.375</v>
      </c>
      <c r="BC375" s="4" t="s">
        <v>1491</v>
      </c>
      <c r="BD375" s="4" t="s">
        <v>1415</v>
      </c>
      <c r="BE375" s="4" t="s">
        <v>91</v>
      </c>
      <c r="BF375" s="4">
        <v>0.6</v>
      </c>
      <c r="BG375" s="4">
        <v>0.5</v>
      </c>
      <c r="BI375" s="4">
        <v>1</v>
      </c>
      <c r="BK375" s="4">
        <v>0.3</v>
      </c>
      <c r="BL375" s="4" t="s">
        <v>1493</v>
      </c>
      <c r="BM375" s="4" t="s">
        <v>1492</v>
      </c>
    </row>
    <row r="376" spans="4:65">
      <c r="D376" s="17" t="str">
        <f t="shared" si="103"/>
        <v>ErgänzungsfuttermittelKatzeAndere Supplemente</v>
      </c>
      <c r="E376" s="4" t="s">
        <v>91</v>
      </c>
      <c r="F376" s="19" t="s">
        <v>90</v>
      </c>
      <c r="G376" s="4" t="s">
        <v>93</v>
      </c>
      <c r="L376" s="4" t="s">
        <v>1494</v>
      </c>
      <c r="M376">
        <f t="shared" si="104"/>
        <v>0.96</v>
      </c>
      <c r="N376">
        <f t="shared" si="105"/>
        <v>91.26</v>
      </c>
      <c r="P376">
        <f t="shared" si="106"/>
        <v>0.17</v>
      </c>
      <c r="R376">
        <f t="shared" si="102"/>
        <v>0.47</v>
      </c>
      <c r="U376" s="33" t="str">
        <f t="shared" si="100"/>
        <v/>
      </c>
      <c r="AF376" s="4">
        <f t="shared" si="108"/>
        <v>0</v>
      </c>
      <c r="AL376" s="4">
        <f t="shared" si="101"/>
        <v>0</v>
      </c>
      <c r="BA376" s="4">
        <v>338</v>
      </c>
      <c r="BB376" s="4">
        <v>0.5</v>
      </c>
      <c r="BC376" s="4" t="s">
        <v>1494</v>
      </c>
      <c r="BD376" s="4" t="s">
        <v>1415</v>
      </c>
      <c r="BE376" s="4" t="s">
        <v>91</v>
      </c>
      <c r="BF376" s="4">
        <v>0.96</v>
      </c>
      <c r="BG376" s="4">
        <v>91.26</v>
      </c>
      <c r="BI376" s="4">
        <v>0.17</v>
      </c>
      <c r="BK376" s="4">
        <v>0.47</v>
      </c>
      <c r="BL376" s="4" t="s">
        <v>1495</v>
      </c>
      <c r="BM376" s="4" t="s">
        <v>1496</v>
      </c>
    </row>
    <row r="377" spans="4:65">
      <c r="D377" s="17" t="str">
        <f t="shared" si="103"/>
        <v>ErgänzungsfuttermittelKatzeAndere Supplemente</v>
      </c>
      <c r="E377" s="4" t="s">
        <v>91</v>
      </c>
      <c r="F377" s="19" t="s">
        <v>90</v>
      </c>
      <c r="G377" s="4" t="s">
        <v>93</v>
      </c>
      <c r="L377" s="4" t="s">
        <v>166</v>
      </c>
      <c r="M377">
        <f t="shared" si="104"/>
        <v>0.6</v>
      </c>
      <c r="N377">
        <f t="shared" si="105"/>
        <v>0.5</v>
      </c>
      <c r="P377">
        <f t="shared" si="106"/>
        <v>1</v>
      </c>
      <c r="R377">
        <f t="shared" si="102"/>
        <v>0.3</v>
      </c>
      <c r="U377" s="33" t="str">
        <f t="shared" si="100"/>
        <v/>
      </c>
      <c r="AF377" s="4">
        <f t="shared" si="108"/>
        <v>0</v>
      </c>
      <c r="AL377" s="4">
        <f t="shared" si="101"/>
        <v>0</v>
      </c>
      <c r="BA377" s="4">
        <v>162.72999999999999</v>
      </c>
      <c r="BB377" s="4">
        <v>0.375</v>
      </c>
      <c r="BC377" s="4" t="s">
        <v>166</v>
      </c>
      <c r="BD377" s="4" t="s">
        <v>1415</v>
      </c>
      <c r="BE377" s="4" t="s">
        <v>91</v>
      </c>
      <c r="BF377" s="4">
        <v>0.6</v>
      </c>
      <c r="BG377" s="4">
        <v>0.5</v>
      </c>
      <c r="BI377" s="4">
        <v>1</v>
      </c>
      <c r="BK377" s="4">
        <v>0.3</v>
      </c>
      <c r="BL377" s="4" t="s">
        <v>1509</v>
      </c>
      <c r="BM377" s="4" t="s">
        <v>1506</v>
      </c>
    </row>
    <row r="378" spans="4:65">
      <c r="D378" s="17" t="str">
        <f t="shared" si="103"/>
        <v>ErgänzungsfuttermittelKatzeAndere Supplemente</v>
      </c>
      <c r="E378" s="4" t="s">
        <v>91</v>
      </c>
      <c r="F378" s="19" t="s">
        <v>90</v>
      </c>
      <c r="G378" s="4" t="s">
        <v>93</v>
      </c>
      <c r="L378" s="4" t="s">
        <v>1511</v>
      </c>
      <c r="M378">
        <f t="shared" si="104"/>
        <v>4.17</v>
      </c>
      <c r="N378">
        <f t="shared" si="105"/>
        <v>14.73</v>
      </c>
      <c r="P378">
        <f t="shared" si="106"/>
        <v>7.96</v>
      </c>
      <c r="R378">
        <f t="shared" si="102"/>
        <v>27.37</v>
      </c>
      <c r="U378" s="33" t="str">
        <f t="shared" si="100"/>
        <v/>
      </c>
      <c r="AF378" s="4">
        <f t="shared" si="108"/>
        <v>0</v>
      </c>
      <c r="AL378" s="4">
        <f t="shared" si="101"/>
        <v>0</v>
      </c>
      <c r="BA378" s="4">
        <v>695</v>
      </c>
      <c r="BB378" s="4">
        <v>0.15</v>
      </c>
      <c r="BC378" s="4" t="s">
        <v>1507</v>
      </c>
      <c r="BD378" s="4" t="s">
        <v>1415</v>
      </c>
      <c r="BE378" s="4" t="s">
        <v>91</v>
      </c>
      <c r="BF378" s="4">
        <v>4.17</v>
      </c>
      <c r="BG378" s="4">
        <v>14.73</v>
      </c>
      <c r="BI378" s="4">
        <v>7.96</v>
      </c>
      <c r="BK378" s="4">
        <v>27.37</v>
      </c>
      <c r="BL378" s="4" t="s">
        <v>1510</v>
      </c>
      <c r="BM378" s="4" t="s">
        <v>1508</v>
      </c>
    </row>
    <row r="379" spans="4:65">
      <c r="D379" s="17" t="str">
        <f t="shared" si="103"/>
        <v>ErgänzungsfuttermittelKatzeAndere Supplemente</v>
      </c>
      <c r="E379" s="4" t="s">
        <v>91</v>
      </c>
      <c r="F379" s="19" t="s">
        <v>90</v>
      </c>
      <c r="G379" s="4" t="s">
        <v>93</v>
      </c>
      <c r="L379" s="4" t="s">
        <v>1529</v>
      </c>
      <c r="M379">
        <f t="shared" si="104"/>
        <v>0.9</v>
      </c>
      <c r="N379">
        <f t="shared" si="105"/>
        <v>1.3</v>
      </c>
      <c r="P379">
        <f t="shared" si="106"/>
        <v>0.1</v>
      </c>
      <c r="R379">
        <f t="shared" si="102"/>
        <v>76</v>
      </c>
      <c r="S379" s="4">
        <v>120</v>
      </c>
      <c r="T379" s="4">
        <v>50</v>
      </c>
      <c r="U379" s="33">
        <f t="shared" si="100"/>
        <v>2.4</v>
      </c>
      <c r="V379" s="4">
        <v>20</v>
      </c>
      <c r="X379" s="4">
        <v>50</v>
      </c>
      <c r="AF379" s="4">
        <f t="shared" si="108"/>
        <v>0</v>
      </c>
      <c r="AL379" s="4">
        <f t="shared" si="101"/>
        <v>0</v>
      </c>
      <c r="BC379" s="4" t="s">
        <v>1529</v>
      </c>
      <c r="BD379" s="4" t="s">
        <v>1513</v>
      </c>
      <c r="BE379" s="4" t="s">
        <v>91</v>
      </c>
      <c r="BF379" s="4">
        <v>0.9</v>
      </c>
      <c r="BG379" s="4">
        <v>1.3</v>
      </c>
      <c r="BI379" s="4">
        <v>0.1</v>
      </c>
      <c r="BK379" s="4">
        <v>76</v>
      </c>
      <c r="BL379" s="4" t="s">
        <v>1531</v>
      </c>
      <c r="BM379" s="4" t="s">
        <v>1530</v>
      </c>
    </row>
    <row r="380" spans="4:65">
      <c r="D380" s="17" t="str">
        <f t="shared" si="103"/>
        <v>ErgänzungsfuttermittelKatzeAndere Supplemente</v>
      </c>
      <c r="E380" s="4" t="s">
        <v>91</v>
      </c>
      <c r="F380" s="19" t="s">
        <v>90</v>
      </c>
      <c r="G380" s="4" t="s">
        <v>93</v>
      </c>
      <c r="L380" s="4" t="s">
        <v>1547</v>
      </c>
      <c r="M380">
        <f t="shared" si="104"/>
        <v>2.4</v>
      </c>
      <c r="N380">
        <f t="shared" si="105"/>
        <v>38.700000000000003</v>
      </c>
      <c r="P380">
        <f t="shared" si="106"/>
        <v>0.4</v>
      </c>
      <c r="R380">
        <f t="shared" si="102"/>
        <v>1.5</v>
      </c>
      <c r="U380" s="33" t="str">
        <f t="shared" si="100"/>
        <v/>
      </c>
      <c r="AF380" s="4">
        <f t="shared" si="108"/>
        <v>0</v>
      </c>
      <c r="AL380" s="4">
        <f t="shared" si="101"/>
        <v>0</v>
      </c>
      <c r="BC380" s="4" t="s">
        <v>1547</v>
      </c>
      <c r="BD380" s="4" t="s">
        <v>1513</v>
      </c>
      <c r="BE380" s="4" t="s">
        <v>91</v>
      </c>
      <c r="BF380" s="4">
        <v>2.4</v>
      </c>
      <c r="BG380" s="4">
        <v>38.700000000000003</v>
      </c>
      <c r="BI380" s="4">
        <v>0.4</v>
      </c>
      <c r="BK380" s="4">
        <v>1.5</v>
      </c>
      <c r="BL380" s="4" t="s">
        <v>1549</v>
      </c>
      <c r="BM380" s="4" t="s">
        <v>1548</v>
      </c>
    </row>
    <row r="381" spans="4:65">
      <c r="D381" s="17" t="str">
        <f t="shared" si="103"/>
        <v>ErgänzungsfuttermittelKatzeAndere Supplemente</v>
      </c>
      <c r="E381" s="4" t="s">
        <v>91</v>
      </c>
      <c r="F381" s="19" t="s">
        <v>90</v>
      </c>
      <c r="G381" s="4" t="s">
        <v>93</v>
      </c>
      <c r="L381" s="4" t="s">
        <v>1553</v>
      </c>
      <c r="M381">
        <f t="shared" si="104"/>
        <v>4</v>
      </c>
      <c r="N381">
        <f t="shared" si="105"/>
        <v>7.8</v>
      </c>
      <c r="P381">
        <f t="shared" si="106"/>
        <v>0.8</v>
      </c>
      <c r="R381">
        <f t="shared" si="102"/>
        <v>1</v>
      </c>
      <c r="U381" s="33" t="str">
        <f t="shared" si="100"/>
        <v/>
      </c>
      <c r="AF381" s="4">
        <f t="shared" si="108"/>
        <v>0</v>
      </c>
      <c r="AL381" s="4">
        <f t="shared" si="101"/>
        <v>0</v>
      </c>
      <c r="BC381" s="4" t="s">
        <v>1553</v>
      </c>
      <c r="BD381" s="4" t="s">
        <v>1513</v>
      </c>
      <c r="BE381" s="4" t="s">
        <v>91</v>
      </c>
      <c r="BF381" s="4">
        <v>4</v>
      </c>
      <c r="BG381" s="4">
        <v>7.8</v>
      </c>
      <c r="BI381" s="4">
        <v>0.8</v>
      </c>
      <c r="BK381" s="4">
        <v>1</v>
      </c>
      <c r="BL381" s="4" t="s">
        <v>1555</v>
      </c>
      <c r="BM381" s="4" t="s">
        <v>1554</v>
      </c>
    </row>
    <row r="382" spans="4:65">
      <c r="D382" s="17" t="str">
        <f t="shared" si="103"/>
        <v>ErgänzungsfuttermittelKatzeAndere Supplemente</v>
      </c>
      <c r="E382" s="4" t="s">
        <v>91</v>
      </c>
      <c r="F382" s="19" t="s">
        <v>90</v>
      </c>
      <c r="G382" s="4" t="s">
        <v>93</v>
      </c>
      <c r="L382" s="4" t="s">
        <v>1556</v>
      </c>
      <c r="M382">
        <f t="shared" si="104"/>
        <v>1.5</v>
      </c>
      <c r="N382">
        <f t="shared" si="105"/>
        <v>0.6</v>
      </c>
      <c r="P382">
        <f t="shared" si="106"/>
        <v>0.1</v>
      </c>
      <c r="R382">
        <f t="shared" si="102"/>
        <v>0.05</v>
      </c>
      <c r="U382" s="33" t="str">
        <f t="shared" si="100"/>
        <v/>
      </c>
      <c r="AF382" s="4">
        <f t="shared" si="108"/>
        <v>0</v>
      </c>
      <c r="AL382" s="4">
        <f t="shared" si="101"/>
        <v>0</v>
      </c>
      <c r="BA382" s="4">
        <v>151.9</v>
      </c>
      <c r="BB382" s="4">
        <v>0.6</v>
      </c>
      <c r="BC382" s="4" t="s">
        <v>1557</v>
      </c>
      <c r="BD382" s="4" t="s">
        <v>1560</v>
      </c>
      <c r="BE382" s="4" t="s">
        <v>91</v>
      </c>
      <c r="BF382" s="4">
        <v>1.5</v>
      </c>
      <c r="BG382" s="4">
        <v>0.6</v>
      </c>
      <c r="BI382" s="4">
        <v>0.1</v>
      </c>
      <c r="BK382" s="4">
        <v>0.05</v>
      </c>
      <c r="BL382" s="4" t="s">
        <v>1559</v>
      </c>
      <c r="BM382" s="4" t="s">
        <v>1558</v>
      </c>
    </row>
    <row r="383" spans="4:65">
      <c r="D383" s="17" t="str">
        <f t="shared" si="103"/>
        <v>ErgänzungsfuttermittelKatzeAndere Supplemente</v>
      </c>
      <c r="E383" s="4" t="s">
        <v>91</v>
      </c>
      <c r="F383" s="19" t="s">
        <v>90</v>
      </c>
      <c r="G383" s="4" t="s">
        <v>93</v>
      </c>
      <c r="L383" s="4" t="s">
        <v>1568</v>
      </c>
      <c r="M383">
        <f t="shared" si="104"/>
        <v>2.1</v>
      </c>
      <c r="N383">
        <f t="shared" si="105"/>
        <v>0.9</v>
      </c>
      <c r="P383">
        <f t="shared" si="106"/>
        <v>0</v>
      </c>
      <c r="R383">
        <f t="shared" si="102"/>
        <v>1.1000000000000001</v>
      </c>
      <c r="U383" s="33" t="str">
        <f t="shared" si="100"/>
        <v/>
      </c>
      <c r="X383" s="4">
        <v>100</v>
      </c>
      <c r="AF383" s="4">
        <f t="shared" si="108"/>
        <v>0</v>
      </c>
      <c r="AL383" s="4">
        <f t="shared" si="101"/>
        <v>0</v>
      </c>
      <c r="BA383" s="4">
        <v>263.8</v>
      </c>
      <c r="BB383" s="4">
        <v>0.4</v>
      </c>
      <c r="BC383" s="4" t="s">
        <v>1568</v>
      </c>
      <c r="BD383" s="4" t="s">
        <v>1560</v>
      </c>
      <c r="BE383" s="4" t="s">
        <v>91</v>
      </c>
      <c r="BF383" s="4">
        <v>2.1</v>
      </c>
      <c r="BG383" s="4">
        <v>0.9</v>
      </c>
      <c r="BK383" s="4">
        <v>1.1000000000000001</v>
      </c>
      <c r="BL383" s="4" t="s">
        <v>1570</v>
      </c>
      <c r="BM383" s="4" t="s">
        <v>1569</v>
      </c>
    </row>
    <row r="384" spans="4:65">
      <c r="D384" s="17" t="str">
        <f t="shared" si="103"/>
        <v>ErgänzungsfuttermittelKatzeAndere Supplemente</v>
      </c>
      <c r="E384" s="4" t="s">
        <v>91</v>
      </c>
      <c r="F384" s="19" t="s">
        <v>90</v>
      </c>
      <c r="G384" s="4" t="s">
        <v>93</v>
      </c>
      <c r="L384" s="4" t="s">
        <v>1571</v>
      </c>
      <c r="M384">
        <f t="shared" si="104"/>
        <v>30</v>
      </c>
      <c r="N384">
        <f t="shared" si="105"/>
        <v>9</v>
      </c>
      <c r="P384">
        <f t="shared" si="106"/>
        <v>2</v>
      </c>
      <c r="R384">
        <f t="shared" si="102"/>
        <v>9</v>
      </c>
      <c r="U384" s="33" t="str">
        <f t="shared" si="100"/>
        <v/>
      </c>
      <c r="AF384" s="4">
        <f t="shared" si="108"/>
        <v>0</v>
      </c>
      <c r="AL384" s="4">
        <f t="shared" si="101"/>
        <v>0</v>
      </c>
      <c r="BC384" s="4" t="s">
        <v>1571</v>
      </c>
      <c r="BD384" s="4" t="s">
        <v>1560</v>
      </c>
      <c r="BE384" s="4" t="s">
        <v>91</v>
      </c>
      <c r="BF384" s="4">
        <v>30</v>
      </c>
      <c r="BG384" s="4">
        <v>9</v>
      </c>
      <c r="BI384" s="4">
        <v>2</v>
      </c>
      <c r="BK384" s="4">
        <v>9</v>
      </c>
      <c r="BL384" s="4" t="s">
        <v>1573</v>
      </c>
      <c r="BM384" s="4" t="s">
        <v>1572</v>
      </c>
    </row>
    <row r="385" spans="4:65">
      <c r="D385" s="17" t="str">
        <f t="shared" si="103"/>
        <v>ErgänzungsfuttermittelKatzeAndere Supplemente</v>
      </c>
      <c r="E385" s="4" t="s">
        <v>91</v>
      </c>
      <c r="F385" s="19" t="s">
        <v>90</v>
      </c>
      <c r="G385" s="4" t="s">
        <v>93</v>
      </c>
      <c r="L385" s="4" t="s">
        <v>1578</v>
      </c>
      <c r="M385">
        <f t="shared" si="104"/>
        <v>33</v>
      </c>
      <c r="N385">
        <f t="shared" si="105"/>
        <v>2</v>
      </c>
      <c r="P385">
        <f t="shared" si="106"/>
        <v>19</v>
      </c>
      <c r="R385">
        <f t="shared" si="102"/>
        <v>5</v>
      </c>
      <c r="U385" s="33" t="str">
        <f t="shared" si="100"/>
        <v/>
      </c>
      <c r="AF385" s="4">
        <f t="shared" si="108"/>
        <v>0</v>
      </c>
      <c r="AL385" s="4">
        <f t="shared" si="101"/>
        <v>0</v>
      </c>
      <c r="BA385" s="4">
        <v>240</v>
      </c>
      <c r="BC385" s="4" t="s">
        <v>1578</v>
      </c>
      <c r="BD385" s="4" t="s">
        <v>1560</v>
      </c>
      <c r="BE385" s="4" t="s">
        <v>91</v>
      </c>
      <c r="BF385" s="4">
        <v>33</v>
      </c>
      <c r="BG385" s="4">
        <v>2</v>
      </c>
      <c r="BI385" s="4">
        <v>19</v>
      </c>
      <c r="BK385" s="4">
        <v>5</v>
      </c>
      <c r="BL385" s="4" t="s">
        <v>1580</v>
      </c>
      <c r="BM385" s="4" t="s">
        <v>1579</v>
      </c>
    </row>
    <row r="386" spans="4:65">
      <c r="D386" s="17" t="str">
        <f t="shared" si="103"/>
        <v>ErgänzungsfuttermittelKatzeAndere Supplemente</v>
      </c>
      <c r="E386" s="4" t="s">
        <v>91</v>
      </c>
      <c r="F386" s="19" t="s">
        <v>90</v>
      </c>
      <c r="G386" s="4" t="s">
        <v>93</v>
      </c>
      <c r="L386" s="4" t="s">
        <v>1749</v>
      </c>
      <c r="M386">
        <f t="shared" si="104"/>
        <v>0</v>
      </c>
      <c r="N386">
        <f t="shared" si="105"/>
        <v>0</v>
      </c>
      <c r="P386">
        <f t="shared" si="106"/>
        <v>0</v>
      </c>
      <c r="R386">
        <f t="shared" si="102"/>
        <v>0</v>
      </c>
      <c r="U386" s="33" t="str">
        <f t="shared" si="100"/>
        <v/>
      </c>
      <c r="AF386" s="4">
        <f t="shared" si="108"/>
        <v>0</v>
      </c>
      <c r="AL386" s="4">
        <f t="shared" si="101"/>
        <v>0</v>
      </c>
      <c r="BA386" s="4">
        <v>124.95</v>
      </c>
      <c r="BB386" s="4">
        <v>0.75</v>
      </c>
      <c r="BC386" s="4" t="s">
        <v>1749</v>
      </c>
      <c r="BD386" s="4" t="s">
        <v>1733</v>
      </c>
      <c r="BE386" s="4" t="s">
        <v>91</v>
      </c>
      <c r="BL386" s="4" t="s">
        <v>1751</v>
      </c>
      <c r="BM386" s="4" t="s">
        <v>1750</v>
      </c>
    </row>
    <row r="387" spans="4:65">
      <c r="D387" s="17" t="str">
        <f t="shared" si="103"/>
        <v>ErgänzungsfuttermittelKatzeAndere Supplemente</v>
      </c>
      <c r="E387" s="4" t="s">
        <v>91</v>
      </c>
      <c r="F387" s="19" t="s">
        <v>90</v>
      </c>
      <c r="G387" s="4" t="s">
        <v>93</v>
      </c>
      <c r="L387" s="4" t="s">
        <v>1752</v>
      </c>
      <c r="M387">
        <f t="shared" si="104"/>
        <v>4.3</v>
      </c>
      <c r="N387">
        <f t="shared" si="105"/>
        <v>28</v>
      </c>
      <c r="P387">
        <f t="shared" si="106"/>
        <v>8</v>
      </c>
      <c r="R387">
        <f t="shared" si="102"/>
        <v>14</v>
      </c>
      <c r="U387" s="33" t="str">
        <f t="shared" si="100"/>
        <v/>
      </c>
      <c r="AF387" s="4">
        <f t="shared" si="108"/>
        <v>0</v>
      </c>
      <c r="AL387" s="4">
        <f t="shared" si="101"/>
        <v>0</v>
      </c>
      <c r="BA387" s="4">
        <v>441.67</v>
      </c>
      <c r="BC387" s="4" t="s">
        <v>1752</v>
      </c>
      <c r="BD387" s="4" t="s">
        <v>1753</v>
      </c>
      <c r="BE387" s="4" t="s">
        <v>91</v>
      </c>
      <c r="BF387" s="4">
        <v>4.3</v>
      </c>
      <c r="BG387" s="4">
        <v>28</v>
      </c>
      <c r="BI387" s="4">
        <v>8</v>
      </c>
      <c r="BK387" s="4">
        <v>14</v>
      </c>
      <c r="BL387" s="4" t="s">
        <v>1755</v>
      </c>
      <c r="BM387" s="4" t="s">
        <v>1754</v>
      </c>
    </row>
    <row r="388" spans="4:65">
      <c r="D388" s="17" t="str">
        <f t="shared" si="103"/>
        <v>ErgänzungsfuttermittelKatzeAndere Supplemente</v>
      </c>
      <c r="E388" s="4" t="s">
        <v>91</v>
      </c>
      <c r="F388" s="19" t="s">
        <v>90</v>
      </c>
      <c r="G388" s="4" t="s">
        <v>93</v>
      </c>
      <c r="L388" s="4" t="s">
        <v>1756</v>
      </c>
      <c r="M388">
        <f t="shared" si="104"/>
        <v>10</v>
      </c>
      <c r="N388">
        <f t="shared" si="105"/>
        <v>27</v>
      </c>
      <c r="P388">
        <f t="shared" si="106"/>
        <v>9</v>
      </c>
      <c r="R388">
        <f t="shared" si="102"/>
        <v>3</v>
      </c>
      <c r="U388" s="33" t="str">
        <f t="shared" si="100"/>
        <v/>
      </c>
      <c r="AF388" s="4">
        <f t="shared" si="108"/>
        <v>0</v>
      </c>
      <c r="AL388" s="4">
        <f t="shared" si="101"/>
        <v>0</v>
      </c>
      <c r="BA388" s="4">
        <v>1196.67</v>
      </c>
      <c r="BC388" s="4" t="s">
        <v>1756</v>
      </c>
      <c r="BD388" s="4" t="s">
        <v>1753</v>
      </c>
      <c r="BE388" s="4" t="s">
        <v>91</v>
      </c>
      <c r="BF388" s="4">
        <v>10</v>
      </c>
      <c r="BG388" s="4">
        <v>27</v>
      </c>
      <c r="BI388" s="4">
        <v>9</v>
      </c>
      <c r="BK388" s="4">
        <v>3</v>
      </c>
      <c r="BL388" s="4" t="s">
        <v>1758</v>
      </c>
      <c r="BM388" s="4" t="s">
        <v>1757</v>
      </c>
    </row>
    <row r="389" spans="4:65">
      <c r="D389" s="17" t="str">
        <f t="shared" si="103"/>
        <v>ErgänzungsfuttermittelKatzeAndere Supplemente</v>
      </c>
      <c r="E389" s="4" t="s">
        <v>91</v>
      </c>
      <c r="F389" s="19" t="s">
        <v>90</v>
      </c>
      <c r="G389" s="4" t="s">
        <v>93</v>
      </c>
      <c r="L389" s="4" t="s">
        <v>1759</v>
      </c>
      <c r="M389">
        <f t="shared" si="104"/>
        <v>1.5</v>
      </c>
      <c r="N389">
        <f t="shared" si="105"/>
        <v>25.5</v>
      </c>
      <c r="P389">
        <f t="shared" si="106"/>
        <v>44.4</v>
      </c>
      <c r="R389">
        <f t="shared" si="102"/>
        <v>3</v>
      </c>
      <c r="U389" s="33" t="str">
        <f t="shared" ref="U389:U452" si="109">IF(S389="","",S389/T389)</f>
        <v/>
      </c>
      <c r="AF389" s="4">
        <f t="shared" si="108"/>
        <v>0</v>
      </c>
      <c r="AL389" s="4">
        <f t="shared" si="101"/>
        <v>0</v>
      </c>
      <c r="BA389" s="4">
        <v>1091.67</v>
      </c>
      <c r="BC389" s="4" t="s">
        <v>1759</v>
      </c>
      <c r="BD389" s="4" t="s">
        <v>1753</v>
      </c>
      <c r="BE389" s="4" t="s">
        <v>91</v>
      </c>
      <c r="BF389" s="4">
        <v>1.5</v>
      </c>
      <c r="BG389" s="4">
        <v>25.5</v>
      </c>
      <c r="BI389" s="4">
        <v>44.4</v>
      </c>
      <c r="BK389" s="4">
        <v>3</v>
      </c>
      <c r="BL389" s="4" t="s">
        <v>1760</v>
      </c>
      <c r="BM389" s="4" t="s">
        <v>1761</v>
      </c>
    </row>
    <row r="390" spans="4:65">
      <c r="D390" s="17" t="str">
        <f t="shared" si="103"/>
        <v>ErgänzungsfuttermittelKatzeAndere Supplemente</v>
      </c>
      <c r="E390" s="4" t="s">
        <v>91</v>
      </c>
      <c r="F390" s="19" t="s">
        <v>90</v>
      </c>
      <c r="G390" s="4" t="s">
        <v>93</v>
      </c>
      <c r="L390" s="4" t="s">
        <v>1772</v>
      </c>
      <c r="M390">
        <f t="shared" si="104"/>
        <v>37.5</v>
      </c>
      <c r="N390">
        <f t="shared" si="105"/>
        <v>33.1</v>
      </c>
      <c r="P390">
        <f t="shared" si="106"/>
        <v>10.4</v>
      </c>
      <c r="R390">
        <f t="shared" si="102"/>
        <v>0.5</v>
      </c>
      <c r="U390" s="33" t="str">
        <f t="shared" si="109"/>
        <v/>
      </c>
      <c r="AF390" s="4">
        <f t="shared" si="108"/>
        <v>0</v>
      </c>
      <c r="AL390" s="4">
        <f t="shared" si="101"/>
        <v>0</v>
      </c>
      <c r="BA390" s="4">
        <v>468</v>
      </c>
      <c r="BC390" s="4" t="s">
        <v>1773</v>
      </c>
      <c r="BD390" s="4" t="s">
        <v>1769</v>
      </c>
      <c r="BE390" s="4" t="s">
        <v>91</v>
      </c>
      <c r="BF390" s="4">
        <v>37.5</v>
      </c>
      <c r="BG390" s="4">
        <v>33.1</v>
      </c>
      <c r="BI390" s="4">
        <v>10.4</v>
      </c>
      <c r="BK390" s="4">
        <v>0.5</v>
      </c>
      <c r="BL390" s="4" t="s">
        <v>1774</v>
      </c>
      <c r="BM390" s="4" t="s">
        <v>1775</v>
      </c>
    </row>
    <row r="391" spans="4:65">
      <c r="D391" s="17" t="str">
        <f t="shared" si="103"/>
        <v>ErgänzungsfuttermittelKatzeAndere Supplemente</v>
      </c>
      <c r="E391" s="4" t="s">
        <v>91</v>
      </c>
      <c r="F391" s="19" t="s">
        <v>90</v>
      </c>
      <c r="G391" s="4" t="s">
        <v>93</v>
      </c>
      <c r="L391" s="4" t="s">
        <v>1808</v>
      </c>
      <c r="M391">
        <f t="shared" si="104"/>
        <v>3.3</v>
      </c>
      <c r="N391">
        <f t="shared" si="105"/>
        <v>24</v>
      </c>
      <c r="P391">
        <f t="shared" si="106"/>
        <v>3.1</v>
      </c>
      <c r="R391">
        <f t="shared" si="102"/>
        <v>0.7</v>
      </c>
      <c r="S391" s="4">
        <v>250</v>
      </c>
      <c r="T391" s="4">
        <v>280</v>
      </c>
      <c r="U391" s="33">
        <f t="shared" si="109"/>
        <v>0.8928571428571429</v>
      </c>
      <c r="V391" s="4">
        <v>100</v>
      </c>
      <c r="X391" s="4">
        <v>270</v>
      </c>
      <c r="AF391" s="4">
        <f t="shared" si="108"/>
        <v>0</v>
      </c>
      <c r="AL391" s="4">
        <f t="shared" si="101"/>
        <v>0</v>
      </c>
      <c r="BC391" s="4" t="s">
        <v>1808</v>
      </c>
      <c r="BD391" s="4" t="s">
        <v>1769</v>
      </c>
      <c r="BE391" s="4" t="s">
        <v>91</v>
      </c>
      <c r="BF391" s="4">
        <v>3.3</v>
      </c>
      <c r="BG391" s="4">
        <v>24</v>
      </c>
      <c r="BI391" s="4">
        <v>3.1</v>
      </c>
      <c r="BK391" s="4">
        <v>0.7</v>
      </c>
      <c r="BL391" s="4" t="s">
        <v>1810</v>
      </c>
      <c r="BM391" s="4" t="s">
        <v>1809</v>
      </c>
    </row>
    <row r="392" spans="4:65">
      <c r="D392" s="17" t="str">
        <f t="shared" si="103"/>
        <v>ErgänzungsfuttermittelKatzeAndere Supplemente</v>
      </c>
      <c r="E392" s="4" t="s">
        <v>91</v>
      </c>
      <c r="F392" s="19" t="s">
        <v>90</v>
      </c>
      <c r="G392" s="4" t="s">
        <v>93</v>
      </c>
      <c r="L392" s="4" t="s">
        <v>1840</v>
      </c>
      <c r="M392">
        <f t="shared" si="104"/>
        <v>14.5</v>
      </c>
      <c r="N392">
        <f t="shared" si="105"/>
        <v>13.8</v>
      </c>
      <c r="P392">
        <f t="shared" si="106"/>
        <v>3.1</v>
      </c>
      <c r="R392">
        <f t="shared" si="102"/>
        <v>18.100000000000001</v>
      </c>
      <c r="U392" s="33" t="str">
        <f t="shared" si="109"/>
        <v/>
      </c>
      <c r="AF392" s="4">
        <f t="shared" si="108"/>
        <v>0</v>
      </c>
      <c r="AL392" s="4">
        <f t="shared" si="101"/>
        <v>0</v>
      </c>
      <c r="BA392" s="4">
        <v>51.8</v>
      </c>
      <c r="BB392" s="4">
        <v>0.7</v>
      </c>
      <c r="BC392" s="4" t="s">
        <v>1840</v>
      </c>
      <c r="BD392" s="4" t="s">
        <v>1826</v>
      </c>
      <c r="BE392" s="4" t="s">
        <v>91</v>
      </c>
      <c r="BF392" s="4">
        <v>14.5</v>
      </c>
      <c r="BG392" s="4">
        <v>13.8</v>
      </c>
      <c r="BI392" s="4">
        <v>3.1</v>
      </c>
      <c r="BK392" s="4">
        <v>18.100000000000001</v>
      </c>
      <c r="BL392" s="4" t="s">
        <v>1842</v>
      </c>
      <c r="BM392" s="4" t="s">
        <v>1841</v>
      </c>
    </row>
    <row r="393" spans="4:65">
      <c r="D393" s="17" t="str">
        <f t="shared" si="103"/>
        <v>ErgänzungsfuttermittelKatzeAndere Supplemente</v>
      </c>
      <c r="E393" s="4" t="s">
        <v>91</v>
      </c>
      <c r="F393" s="19" t="s">
        <v>90</v>
      </c>
      <c r="G393" s="4" t="s">
        <v>93</v>
      </c>
      <c r="L393" s="4" t="s">
        <v>1880</v>
      </c>
      <c r="M393">
        <f t="shared" si="104"/>
        <v>18.3</v>
      </c>
      <c r="N393">
        <f t="shared" si="105"/>
        <v>15.3</v>
      </c>
      <c r="P393">
        <f t="shared" si="106"/>
        <v>9.4</v>
      </c>
      <c r="R393">
        <f t="shared" si="102"/>
        <v>9</v>
      </c>
      <c r="U393" s="33" t="str">
        <f t="shared" si="109"/>
        <v/>
      </c>
      <c r="V393" s="4">
        <v>3600</v>
      </c>
      <c r="AF393" s="4">
        <f t="shared" si="108"/>
        <v>0</v>
      </c>
      <c r="AL393" s="4">
        <f t="shared" si="101"/>
        <v>0</v>
      </c>
      <c r="BA393" s="4">
        <v>79.599999999999994</v>
      </c>
      <c r="BB393" s="4">
        <v>3</v>
      </c>
      <c r="BC393" s="4" t="s">
        <v>1880</v>
      </c>
      <c r="BD393" s="4" t="s">
        <v>1826</v>
      </c>
      <c r="BE393" s="4" t="s">
        <v>91</v>
      </c>
      <c r="BF393" s="4">
        <v>18.3</v>
      </c>
      <c r="BG393" s="4">
        <v>15.3</v>
      </c>
      <c r="BI393" s="4">
        <v>9.4</v>
      </c>
      <c r="BK393" s="4">
        <v>9</v>
      </c>
      <c r="BL393" s="4" t="s">
        <v>1882</v>
      </c>
      <c r="BM393" s="4" t="s">
        <v>1881</v>
      </c>
    </row>
    <row r="394" spans="4:65">
      <c r="D394" s="17" t="str">
        <f t="shared" si="103"/>
        <v>ErgänzungsfuttermittelKatzeAndere Supplemente</v>
      </c>
      <c r="E394" s="4" t="s">
        <v>91</v>
      </c>
      <c r="F394" s="19" t="s">
        <v>90</v>
      </c>
      <c r="G394" s="4" t="s">
        <v>93</v>
      </c>
      <c r="L394" s="4" t="s">
        <v>1922</v>
      </c>
      <c r="M394">
        <f t="shared" si="104"/>
        <v>0</v>
      </c>
      <c r="N394">
        <f t="shared" si="105"/>
        <v>0</v>
      </c>
      <c r="P394">
        <f t="shared" si="106"/>
        <v>0</v>
      </c>
      <c r="R394">
        <f t="shared" si="102"/>
        <v>0</v>
      </c>
      <c r="U394" s="33" t="str">
        <f t="shared" si="109"/>
        <v/>
      </c>
      <c r="AF394" s="4">
        <f t="shared" si="108"/>
        <v>0</v>
      </c>
      <c r="AL394" s="4">
        <f t="shared" ref="AL394:AL457" si="110">AK394*$BO$14</f>
        <v>0</v>
      </c>
      <c r="BA394" s="4">
        <v>39.799999999999997</v>
      </c>
      <c r="BB394" s="4">
        <v>4</v>
      </c>
      <c r="BC394" s="4" t="s">
        <v>811</v>
      </c>
      <c r="BD394" s="4" t="s">
        <v>1826</v>
      </c>
      <c r="BE394" s="4" t="s">
        <v>91</v>
      </c>
      <c r="BL394" s="4" t="s">
        <v>1924</v>
      </c>
      <c r="BM394" s="4" t="s">
        <v>1923</v>
      </c>
    </row>
    <row r="395" spans="4:65">
      <c r="D395" s="17" t="str">
        <f t="shared" si="103"/>
        <v>ErgänzungsfuttermittelKatzeAndere Supplemente</v>
      </c>
      <c r="E395" s="4" t="s">
        <v>91</v>
      </c>
      <c r="F395" s="19" t="s">
        <v>90</v>
      </c>
      <c r="G395" s="4" t="s">
        <v>93</v>
      </c>
      <c r="L395" s="4" t="s">
        <v>1936</v>
      </c>
      <c r="M395">
        <f t="shared" si="104"/>
        <v>0.9</v>
      </c>
      <c r="N395">
        <f t="shared" si="105"/>
        <v>0.3</v>
      </c>
      <c r="P395">
        <f t="shared" si="106"/>
        <v>0.1</v>
      </c>
      <c r="R395">
        <f t="shared" si="102"/>
        <v>0.4</v>
      </c>
      <c r="U395" s="33" t="str">
        <f t="shared" si="109"/>
        <v/>
      </c>
      <c r="AF395" s="4">
        <f t="shared" si="108"/>
        <v>0</v>
      </c>
      <c r="AL395" s="4">
        <f t="shared" si="110"/>
        <v>0</v>
      </c>
      <c r="BA395" s="4">
        <v>10.4</v>
      </c>
      <c r="BB395" s="4">
        <v>200</v>
      </c>
      <c r="BC395" s="4" t="s">
        <v>1936</v>
      </c>
      <c r="BD395" s="4" t="s">
        <v>1826</v>
      </c>
      <c r="BE395" s="4" t="s">
        <v>91</v>
      </c>
      <c r="BF395" s="4">
        <v>0.9</v>
      </c>
      <c r="BG395" s="4">
        <v>0.3</v>
      </c>
      <c r="BI395" s="4">
        <v>0.1</v>
      </c>
      <c r="BK395" s="4">
        <v>0.4</v>
      </c>
      <c r="BL395" s="4" t="s">
        <v>1938</v>
      </c>
      <c r="BM395" s="4" t="s">
        <v>1937</v>
      </c>
    </row>
    <row r="396" spans="4:65">
      <c r="D396" s="17" t="str">
        <f t="shared" si="103"/>
        <v>ErgänzungsfuttermittelKatzeAndere Supplemente</v>
      </c>
      <c r="E396" s="4" t="s">
        <v>91</v>
      </c>
      <c r="F396" s="19" t="s">
        <v>90</v>
      </c>
      <c r="G396" s="4" t="s">
        <v>93</v>
      </c>
      <c r="L396" s="4" t="s">
        <v>1945</v>
      </c>
      <c r="M396">
        <f t="shared" si="104"/>
        <v>12</v>
      </c>
      <c r="N396">
        <f t="shared" si="105"/>
        <v>15</v>
      </c>
      <c r="P396">
        <f t="shared" si="106"/>
        <v>2.4</v>
      </c>
      <c r="R396">
        <f t="shared" si="102"/>
        <v>11.5</v>
      </c>
      <c r="U396" s="33" t="str">
        <f t="shared" si="109"/>
        <v/>
      </c>
      <c r="AF396" s="4">
        <f t="shared" si="108"/>
        <v>0</v>
      </c>
      <c r="AL396" s="4">
        <f t="shared" si="110"/>
        <v>0</v>
      </c>
      <c r="BA396" s="4">
        <v>79.599999999999994</v>
      </c>
      <c r="BB396" s="4">
        <v>2.5</v>
      </c>
      <c r="BC396" s="4" t="s">
        <v>1945</v>
      </c>
      <c r="BD396" s="4" t="s">
        <v>1826</v>
      </c>
      <c r="BE396" s="4" t="s">
        <v>91</v>
      </c>
      <c r="BF396" s="4">
        <v>12</v>
      </c>
      <c r="BG396" s="4">
        <v>15</v>
      </c>
      <c r="BI396" s="4">
        <v>2.4</v>
      </c>
      <c r="BK396" s="4">
        <v>11.5</v>
      </c>
      <c r="BL396" s="4" t="s">
        <v>1946</v>
      </c>
      <c r="BM396" s="4" t="s">
        <v>1947</v>
      </c>
    </row>
    <row r="397" spans="4:65">
      <c r="D397" s="17" t="str">
        <f t="shared" si="103"/>
        <v>ErgänzungsfuttermittelKatzeAndere Supplemente</v>
      </c>
      <c r="E397" s="4" t="s">
        <v>91</v>
      </c>
      <c r="F397" s="19" t="s">
        <v>90</v>
      </c>
      <c r="G397" s="4" t="s">
        <v>93</v>
      </c>
      <c r="L397" s="4" t="s">
        <v>1948</v>
      </c>
      <c r="M397">
        <f t="shared" si="104"/>
        <v>14.6</v>
      </c>
      <c r="N397">
        <f t="shared" si="105"/>
        <v>14.2</v>
      </c>
      <c r="P397">
        <f t="shared" si="106"/>
        <v>3.8</v>
      </c>
      <c r="R397">
        <f t="shared" si="102"/>
        <v>12.1</v>
      </c>
      <c r="U397" s="33" t="str">
        <f t="shared" si="109"/>
        <v/>
      </c>
      <c r="AF397" s="4">
        <f t="shared" si="108"/>
        <v>0</v>
      </c>
      <c r="AL397" s="4">
        <f t="shared" si="110"/>
        <v>0</v>
      </c>
      <c r="BA397" s="4">
        <v>91.6</v>
      </c>
      <c r="BB397" s="4">
        <v>2.5</v>
      </c>
      <c r="BC397" s="4" t="s">
        <v>1948</v>
      </c>
      <c r="BD397" s="4" t="s">
        <v>1826</v>
      </c>
      <c r="BE397" s="4" t="s">
        <v>91</v>
      </c>
      <c r="BF397" s="4">
        <v>14.6</v>
      </c>
      <c r="BG397" s="4">
        <v>14.2</v>
      </c>
      <c r="BI397" s="4">
        <v>3.8</v>
      </c>
      <c r="BK397" s="4">
        <v>12.1</v>
      </c>
      <c r="BL397" s="4" t="s">
        <v>1950</v>
      </c>
      <c r="BM397" s="4" t="s">
        <v>1949</v>
      </c>
    </row>
    <row r="398" spans="4:65">
      <c r="D398" s="17" t="str">
        <f t="shared" si="103"/>
        <v>ErgänzungsfuttermittelKatzeAndere Supplemente</v>
      </c>
      <c r="E398" s="4" t="s">
        <v>91</v>
      </c>
      <c r="F398" s="19" t="s">
        <v>90</v>
      </c>
      <c r="G398" s="4" t="s">
        <v>93</v>
      </c>
      <c r="L398" s="4" t="s">
        <v>1951</v>
      </c>
      <c r="M398">
        <f t="shared" si="104"/>
        <v>7.4</v>
      </c>
      <c r="N398">
        <f t="shared" si="105"/>
        <v>11.3</v>
      </c>
      <c r="P398">
        <f t="shared" si="106"/>
        <v>4.0999999999999996</v>
      </c>
      <c r="R398">
        <f t="shared" si="102"/>
        <v>30.2</v>
      </c>
      <c r="U398" s="33" t="str">
        <f t="shared" si="109"/>
        <v/>
      </c>
      <c r="AF398" s="4">
        <f t="shared" si="108"/>
        <v>0</v>
      </c>
      <c r="AL398" s="4">
        <f t="shared" si="110"/>
        <v>0</v>
      </c>
      <c r="BA398" s="4">
        <v>79.599999999999994</v>
      </c>
      <c r="BB398" s="4">
        <v>2.5</v>
      </c>
      <c r="BC398" s="4" t="s">
        <v>1951</v>
      </c>
      <c r="BD398" s="4" t="s">
        <v>1826</v>
      </c>
      <c r="BE398" s="4" t="s">
        <v>91</v>
      </c>
      <c r="BF398" s="4">
        <v>7.4</v>
      </c>
      <c r="BG398" s="4">
        <v>11.3</v>
      </c>
      <c r="BI398" s="4">
        <v>4.0999999999999996</v>
      </c>
      <c r="BK398" s="4">
        <v>30.2</v>
      </c>
      <c r="BL398" s="4" t="s">
        <v>1953</v>
      </c>
      <c r="BM398" s="4" t="s">
        <v>1952</v>
      </c>
    </row>
    <row r="399" spans="4:65">
      <c r="D399" s="17" t="str">
        <f t="shared" si="103"/>
        <v>ErgänzungsfuttermittelKatzeAndere Supplemente</v>
      </c>
      <c r="E399" s="4" t="s">
        <v>91</v>
      </c>
      <c r="F399" s="19" t="s">
        <v>90</v>
      </c>
      <c r="G399" s="4" t="s">
        <v>93</v>
      </c>
      <c r="L399" s="4" t="s">
        <v>1954</v>
      </c>
      <c r="M399">
        <f t="shared" si="104"/>
        <v>9.5</v>
      </c>
      <c r="N399">
        <f t="shared" si="105"/>
        <v>12.3</v>
      </c>
      <c r="P399">
        <f t="shared" si="106"/>
        <v>8.1999999999999993</v>
      </c>
      <c r="R399">
        <f t="shared" ref="R399:R462" si="111">BK399</f>
        <v>10.6</v>
      </c>
      <c r="U399" s="33" t="str">
        <f t="shared" si="109"/>
        <v/>
      </c>
      <c r="AF399" s="4">
        <f t="shared" si="108"/>
        <v>0</v>
      </c>
      <c r="AL399" s="4">
        <f t="shared" si="110"/>
        <v>0</v>
      </c>
      <c r="BA399" s="4">
        <v>79.599999999999994</v>
      </c>
      <c r="BB399" s="4">
        <v>2.5</v>
      </c>
      <c r="BC399" s="4" t="s">
        <v>1954</v>
      </c>
      <c r="BD399" s="4" t="s">
        <v>1826</v>
      </c>
      <c r="BE399" s="4" t="s">
        <v>91</v>
      </c>
      <c r="BF399" s="4">
        <v>9.5</v>
      </c>
      <c r="BG399" s="4">
        <v>12.3</v>
      </c>
      <c r="BI399" s="4">
        <v>8.1999999999999993</v>
      </c>
      <c r="BK399" s="4">
        <v>10.6</v>
      </c>
      <c r="BL399" s="4" t="s">
        <v>1956</v>
      </c>
      <c r="BM399" s="4" t="s">
        <v>1955</v>
      </c>
    </row>
    <row r="400" spans="4:65">
      <c r="D400" s="17" t="str">
        <f t="shared" si="103"/>
        <v>ErgänzungsfuttermittelKatzeAndere Supplemente</v>
      </c>
      <c r="E400" s="4" t="s">
        <v>91</v>
      </c>
      <c r="F400" s="19" t="s">
        <v>90</v>
      </c>
      <c r="G400" s="4" t="s">
        <v>93</v>
      </c>
      <c r="L400" s="4" t="s">
        <v>1957</v>
      </c>
      <c r="M400">
        <f t="shared" si="104"/>
        <v>13.8</v>
      </c>
      <c r="N400">
        <f t="shared" si="105"/>
        <v>10.199999999999999</v>
      </c>
      <c r="P400">
        <f t="shared" si="106"/>
        <v>1.7</v>
      </c>
      <c r="R400">
        <f t="shared" si="111"/>
        <v>18.100000000000001</v>
      </c>
      <c r="U400" s="33" t="str">
        <f t="shared" si="109"/>
        <v/>
      </c>
      <c r="AF400" s="4">
        <f t="shared" si="108"/>
        <v>0</v>
      </c>
      <c r="AL400" s="4">
        <f t="shared" si="110"/>
        <v>0</v>
      </c>
      <c r="BA400" s="4">
        <v>132.66999999999999</v>
      </c>
      <c r="BB400" s="4">
        <v>0.4</v>
      </c>
      <c r="BC400" s="4" t="s">
        <v>1957</v>
      </c>
      <c r="BD400" s="4" t="s">
        <v>1826</v>
      </c>
      <c r="BE400" s="4" t="s">
        <v>91</v>
      </c>
      <c r="BF400" s="4">
        <v>13.8</v>
      </c>
      <c r="BG400" s="4">
        <v>10.199999999999999</v>
      </c>
      <c r="BI400" s="4">
        <v>1.7</v>
      </c>
      <c r="BK400" s="4">
        <v>18.100000000000001</v>
      </c>
      <c r="BL400" s="4" t="s">
        <v>1958</v>
      </c>
      <c r="BM400" s="4" t="s">
        <v>1959</v>
      </c>
    </row>
    <row r="401" spans="4:65">
      <c r="D401" s="17" t="str">
        <f t="shared" ref="D401:D464" si="112">E401&amp;""&amp;F401&amp;""&amp;G401&amp;""&amp;H401</f>
        <v>ErgänzungsfuttermittelKatzeAndere Supplemente</v>
      </c>
      <c r="E401" s="4" t="s">
        <v>91</v>
      </c>
      <c r="F401" s="19" t="s">
        <v>90</v>
      </c>
      <c r="G401" s="4" t="s">
        <v>93</v>
      </c>
      <c r="L401" s="4" t="s">
        <v>1960</v>
      </c>
      <c r="M401">
        <f t="shared" ref="M401:M464" si="113">BF401</f>
        <v>18.7</v>
      </c>
      <c r="N401">
        <f t="shared" ref="N401:N464" si="114">BG401</f>
        <v>12.9</v>
      </c>
      <c r="P401">
        <f t="shared" ref="P401:P464" si="115">BI401</f>
        <v>1.4</v>
      </c>
      <c r="R401">
        <f t="shared" si="111"/>
        <v>14.5</v>
      </c>
      <c r="U401" s="33" t="str">
        <f t="shared" si="109"/>
        <v/>
      </c>
      <c r="AF401" s="4">
        <f t="shared" si="108"/>
        <v>0</v>
      </c>
      <c r="AL401" s="4">
        <f t="shared" si="110"/>
        <v>0</v>
      </c>
      <c r="BA401" s="4">
        <v>79.599999999999994</v>
      </c>
      <c r="BC401" s="4" t="s">
        <v>1960</v>
      </c>
      <c r="BD401" s="4" t="s">
        <v>1826</v>
      </c>
      <c r="BE401" s="4" t="s">
        <v>91</v>
      </c>
      <c r="BF401" s="4">
        <v>18.7</v>
      </c>
      <c r="BG401" s="4">
        <v>12.9</v>
      </c>
      <c r="BI401" s="4">
        <v>1.4</v>
      </c>
      <c r="BK401" s="4">
        <v>14.5</v>
      </c>
      <c r="BL401" s="4" t="s">
        <v>1962</v>
      </c>
      <c r="BM401" s="4" t="s">
        <v>1961</v>
      </c>
    </row>
    <row r="402" spans="4:65">
      <c r="D402" s="17" t="str">
        <f t="shared" si="112"/>
        <v>ErgänzungsfuttermittelKatzeAndere Supplemente</v>
      </c>
      <c r="E402" s="4" t="s">
        <v>91</v>
      </c>
      <c r="F402" s="19" t="s">
        <v>90</v>
      </c>
      <c r="G402" s="4" t="s">
        <v>93</v>
      </c>
      <c r="L402" s="4" t="s">
        <v>1963</v>
      </c>
      <c r="M402">
        <f t="shared" si="113"/>
        <v>11.7</v>
      </c>
      <c r="N402">
        <f t="shared" si="114"/>
        <v>11.4</v>
      </c>
      <c r="P402">
        <f t="shared" si="115"/>
        <v>2.7</v>
      </c>
      <c r="R402">
        <f t="shared" si="111"/>
        <v>13.1</v>
      </c>
      <c r="U402" s="33" t="str">
        <f t="shared" si="109"/>
        <v/>
      </c>
      <c r="AF402" s="4">
        <f t="shared" si="108"/>
        <v>0</v>
      </c>
      <c r="AL402" s="4">
        <f t="shared" si="110"/>
        <v>0</v>
      </c>
      <c r="BA402" s="4">
        <v>59.6</v>
      </c>
      <c r="BC402" s="4" t="s">
        <v>1963</v>
      </c>
      <c r="BD402" s="4" t="s">
        <v>1826</v>
      </c>
      <c r="BE402" s="4" t="s">
        <v>91</v>
      </c>
      <c r="BF402" s="4">
        <v>11.7</v>
      </c>
      <c r="BG402" s="4">
        <v>11.4</v>
      </c>
      <c r="BI402" s="4">
        <v>2.7</v>
      </c>
      <c r="BK402" s="4">
        <v>13.1</v>
      </c>
      <c r="BL402" s="4" t="s">
        <v>1965</v>
      </c>
      <c r="BM402" s="4" t="s">
        <v>1964</v>
      </c>
    </row>
    <row r="403" spans="4:65">
      <c r="D403" s="17" t="str">
        <f t="shared" si="112"/>
        <v>ErgänzungsfuttermittelKatzeAndere Supplemente</v>
      </c>
      <c r="E403" s="4" t="s">
        <v>91</v>
      </c>
      <c r="F403" s="19" t="s">
        <v>90</v>
      </c>
      <c r="G403" s="4" t="s">
        <v>93</v>
      </c>
      <c r="L403" s="4" t="s">
        <v>1966</v>
      </c>
      <c r="M403">
        <f t="shared" si="113"/>
        <v>6.6</v>
      </c>
      <c r="N403">
        <f t="shared" si="114"/>
        <v>62.8</v>
      </c>
      <c r="P403">
        <f t="shared" si="115"/>
        <v>2.9</v>
      </c>
      <c r="R403">
        <f t="shared" si="111"/>
        <v>6.2</v>
      </c>
      <c r="U403" s="33" t="str">
        <f t="shared" si="109"/>
        <v/>
      </c>
      <c r="AF403" s="4">
        <f t="shared" si="108"/>
        <v>0</v>
      </c>
      <c r="AL403" s="4">
        <f t="shared" si="110"/>
        <v>0</v>
      </c>
      <c r="BA403" s="4">
        <v>132.66999999999999</v>
      </c>
      <c r="BB403" s="4">
        <v>0.8</v>
      </c>
      <c r="BC403" s="4" t="s">
        <v>1966</v>
      </c>
      <c r="BD403" s="4" t="s">
        <v>1826</v>
      </c>
      <c r="BE403" s="4" t="s">
        <v>91</v>
      </c>
      <c r="BF403" s="4">
        <v>6.6</v>
      </c>
      <c r="BG403" s="4">
        <v>62.8</v>
      </c>
      <c r="BI403" s="4">
        <v>2.9</v>
      </c>
      <c r="BK403" s="4">
        <v>6.2</v>
      </c>
      <c r="BL403" s="4" t="s">
        <v>1968</v>
      </c>
      <c r="BM403" s="4" t="s">
        <v>1967</v>
      </c>
    </row>
    <row r="404" spans="4:65">
      <c r="D404" s="17" t="str">
        <f t="shared" si="112"/>
        <v>ErgänzungsfuttermittelKatzeAndere Supplemente</v>
      </c>
      <c r="E404" s="4" t="s">
        <v>91</v>
      </c>
      <c r="F404" s="19" t="s">
        <v>90</v>
      </c>
      <c r="G404" s="4" t="s">
        <v>93</v>
      </c>
      <c r="L404" s="4" t="s">
        <v>2041</v>
      </c>
      <c r="M404">
        <f t="shared" si="113"/>
        <v>8.8000000000000007</v>
      </c>
      <c r="N404">
        <f t="shared" si="114"/>
        <v>29.6</v>
      </c>
      <c r="P404">
        <f t="shared" si="115"/>
        <v>9.3000000000000007</v>
      </c>
      <c r="R404">
        <f t="shared" si="111"/>
        <v>7.7</v>
      </c>
      <c r="S404" s="4">
        <v>590</v>
      </c>
      <c r="T404" s="4">
        <v>720</v>
      </c>
      <c r="U404" s="33">
        <f t="shared" si="109"/>
        <v>0.81944444444444442</v>
      </c>
      <c r="X404" s="4">
        <v>30</v>
      </c>
      <c r="AF404" s="4">
        <f t="shared" si="108"/>
        <v>0</v>
      </c>
      <c r="AL404" s="4">
        <f t="shared" si="110"/>
        <v>0</v>
      </c>
      <c r="BA404" s="4">
        <v>166</v>
      </c>
      <c r="BB404" s="4">
        <v>2</v>
      </c>
      <c r="BC404" s="4" t="s">
        <v>2041</v>
      </c>
      <c r="BD404" s="4" t="s">
        <v>2020</v>
      </c>
      <c r="BE404" s="4" t="s">
        <v>91</v>
      </c>
      <c r="BF404" s="4">
        <v>8.8000000000000007</v>
      </c>
      <c r="BG404" s="4">
        <v>29.6</v>
      </c>
      <c r="BI404" s="4">
        <v>9.3000000000000007</v>
      </c>
      <c r="BK404" s="4">
        <v>7.7</v>
      </c>
      <c r="BL404" s="4" t="s">
        <v>2043</v>
      </c>
      <c r="BM404" s="4" t="s">
        <v>2042</v>
      </c>
    </row>
    <row r="405" spans="4:65">
      <c r="D405" s="17" t="str">
        <f t="shared" si="112"/>
        <v>ErgänzungsfuttermittelKatzeAndere Supplemente</v>
      </c>
      <c r="E405" s="4" t="s">
        <v>91</v>
      </c>
      <c r="F405" s="19" t="s">
        <v>90</v>
      </c>
      <c r="G405" s="4" t="s">
        <v>93</v>
      </c>
      <c r="L405" s="4" t="s">
        <v>2046</v>
      </c>
      <c r="M405">
        <f t="shared" si="113"/>
        <v>95</v>
      </c>
      <c r="N405">
        <f t="shared" si="114"/>
        <v>0.5</v>
      </c>
      <c r="P405">
        <f t="shared" si="115"/>
        <v>0.1</v>
      </c>
      <c r="R405">
        <f t="shared" si="111"/>
        <v>1.9</v>
      </c>
      <c r="S405" s="4">
        <v>3800</v>
      </c>
      <c r="T405" s="4">
        <v>10</v>
      </c>
      <c r="U405" s="33">
        <f t="shared" si="109"/>
        <v>380</v>
      </c>
      <c r="V405" s="4">
        <v>210</v>
      </c>
      <c r="X405" s="4">
        <v>340</v>
      </c>
      <c r="AF405" s="4">
        <f t="shared" si="108"/>
        <v>0</v>
      </c>
      <c r="AL405" s="4">
        <f t="shared" si="110"/>
        <v>0</v>
      </c>
      <c r="BA405" s="4">
        <v>95</v>
      </c>
      <c r="BB405" s="4">
        <v>1.125</v>
      </c>
      <c r="BC405" s="4" t="s">
        <v>2046</v>
      </c>
      <c r="BD405" s="4" t="s">
        <v>2020</v>
      </c>
      <c r="BE405" s="4" t="s">
        <v>91</v>
      </c>
      <c r="BF405" s="4">
        <v>95</v>
      </c>
      <c r="BG405" s="4">
        <v>0.5</v>
      </c>
      <c r="BI405" s="4">
        <v>0.1</v>
      </c>
      <c r="BK405" s="4">
        <v>1.9</v>
      </c>
      <c r="BL405" s="4" t="s">
        <v>2048</v>
      </c>
      <c r="BM405" s="4" t="s">
        <v>2047</v>
      </c>
    </row>
    <row r="406" spans="4:65">
      <c r="D406" s="17" t="str">
        <f t="shared" si="112"/>
        <v>ErgänzungsfuttermittelKatzeAndere Supplemente</v>
      </c>
      <c r="E406" s="4" t="s">
        <v>91</v>
      </c>
      <c r="F406" s="19" t="s">
        <v>90</v>
      </c>
      <c r="G406" s="4" t="s">
        <v>93</v>
      </c>
      <c r="L406" s="4" t="s">
        <v>2049</v>
      </c>
      <c r="M406">
        <f t="shared" si="113"/>
        <v>5.4</v>
      </c>
      <c r="N406">
        <f t="shared" si="114"/>
        <v>44.1</v>
      </c>
      <c r="P406">
        <f t="shared" si="115"/>
        <v>4</v>
      </c>
      <c r="R406">
        <f t="shared" si="111"/>
        <v>0.2</v>
      </c>
      <c r="S406" s="4">
        <v>200</v>
      </c>
      <c r="T406" s="4">
        <v>1400</v>
      </c>
      <c r="U406" s="33">
        <f t="shared" si="109"/>
        <v>0.14285714285714285</v>
      </c>
      <c r="X406" s="4">
        <v>300</v>
      </c>
      <c r="AF406" s="4">
        <f t="shared" si="108"/>
        <v>0</v>
      </c>
      <c r="AL406" s="4">
        <f t="shared" si="110"/>
        <v>0</v>
      </c>
      <c r="BA406" s="4">
        <v>190</v>
      </c>
      <c r="BB406" s="4">
        <v>1.25</v>
      </c>
      <c r="BC406" s="4" t="s">
        <v>2049</v>
      </c>
      <c r="BD406" s="4" t="s">
        <v>2020</v>
      </c>
      <c r="BE406" s="4" t="s">
        <v>91</v>
      </c>
      <c r="BF406" s="4">
        <v>5.4</v>
      </c>
      <c r="BG406" s="4">
        <v>44.1</v>
      </c>
      <c r="BI406" s="4">
        <v>4</v>
      </c>
      <c r="BK406" s="4">
        <v>0.2</v>
      </c>
      <c r="BL406" s="4" t="s">
        <v>2051</v>
      </c>
      <c r="BM406" s="4" t="s">
        <v>2050</v>
      </c>
    </row>
    <row r="407" spans="4:65">
      <c r="D407" s="17" t="str">
        <f t="shared" si="112"/>
        <v>ErgänzungsfuttermittelKatzeAndere Supplemente</v>
      </c>
      <c r="E407" s="4" t="s">
        <v>91</v>
      </c>
      <c r="F407" s="19" t="s">
        <v>90</v>
      </c>
      <c r="G407" s="4" t="s">
        <v>93</v>
      </c>
      <c r="L407" s="4" t="s">
        <v>2052</v>
      </c>
      <c r="M407">
        <f t="shared" si="113"/>
        <v>5.0999999999999996</v>
      </c>
      <c r="N407">
        <f t="shared" si="114"/>
        <v>8.6</v>
      </c>
      <c r="P407">
        <f t="shared" si="115"/>
        <v>1.6</v>
      </c>
      <c r="R407">
        <f t="shared" si="111"/>
        <v>9.1</v>
      </c>
      <c r="S407" s="4">
        <v>790</v>
      </c>
      <c r="T407" s="4">
        <v>160</v>
      </c>
      <c r="U407" s="33">
        <f t="shared" si="109"/>
        <v>4.9375</v>
      </c>
      <c r="X407" s="4">
        <v>150</v>
      </c>
      <c r="AF407" s="4">
        <f t="shared" si="108"/>
        <v>0</v>
      </c>
      <c r="AL407" s="4">
        <f t="shared" si="110"/>
        <v>0</v>
      </c>
      <c r="BA407" s="4">
        <v>200</v>
      </c>
      <c r="BB407" s="4">
        <v>0.75</v>
      </c>
      <c r="BC407" s="4" t="s">
        <v>2053</v>
      </c>
      <c r="BD407" s="4" t="s">
        <v>2020</v>
      </c>
      <c r="BE407" s="4" t="s">
        <v>91</v>
      </c>
      <c r="BF407" s="4">
        <v>5.0999999999999996</v>
      </c>
      <c r="BG407" s="4">
        <v>8.6</v>
      </c>
      <c r="BI407" s="4">
        <v>1.6</v>
      </c>
      <c r="BK407" s="4">
        <v>9.1</v>
      </c>
      <c r="BL407" s="4" t="s">
        <v>2055</v>
      </c>
      <c r="BM407" s="4" t="s">
        <v>2054</v>
      </c>
    </row>
    <row r="408" spans="4:65">
      <c r="D408" s="17" t="str">
        <f t="shared" si="112"/>
        <v>ErgänzungsfuttermittelKatzeAndere Supplemente</v>
      </c>
      <c r="E408" s="4" t="s">
        <v>91</v>
      </c>
      <c r="F408" s="19" t="s">
        <v>90</v>
      </c>
      <c r="G408" s="4" t="s">
        <v>93</v>
      </c>
      <c r="L408" s="4" t="s">
        <v>2074</v>
      </c>
      <c r="M408">
        <f t="shared" si="113"/>
        <v>4.5</v>
      </c>
      <c r="N408">
        <f t="shared" si="114"/>
        <v>8.3000000000000007</v>
      </c>
      <c r="P408">
        <f t="shared" si="115"/>
        <v>21.4</v>
      </c>
      <c r="R408">
        <f t="shared" si="111"/>
        <v>25.2</v>
      </c>
      <c r="S408" s="4">
        <v>490</v>
      </c>
      <c r="T408" s="4">
        <v>1</v>
      </c>
      <c r="U408" s="33">
        <f t="shared" si="109"/>
        <v>490</v>
      </c>
      <c r="X408" s="4">
        <v>20</v>
      </c>
      <c r="AF408" s="4">
        <f t="shared" ref="AF408:AF471" si="116">AG408*$BO$13</f>
        <v>0</v>
      </c>
      <c r="AL408" s="4">
        <f t="shared" si="110"/>
        <v>0</v>
      </c>
      <c r="BA408" s="4">
        <v>125</v>
      </c>
      <c r="BB408" s="4">
        <v>4</v>
      </c>
      <c r="BC408" s="4" t="s">
        <v>2074</v>
      </c>
      <c r="BD408" s="4" t="s">
        <v>2020</v>
      </c>
      <c r="BE408" s="4" t="s">
        <v>91</v>
      </c>
      <c r="BF408" s="4">
        <v>4.5</v>
      </c>
      <c r="BG408" s="4">
        <v>8.3000000000000007</v>
      </c>
      <c r="BI408" s="4">
        <v>21.4</v>
      </c>
      <c r="BK408" s="4">
        <v>25.2</v>
      </c>
      <c r="BL408" s="4" t="s">
        <v>2076</v>
      </c>
      <c r="BM408" s="4" t="s">
        <v>2075</v>
      </c>
    </row>
    <row r="409" spans="4:65">
      <c r="D409" s="17" t="str">
        <f t="shared" si="112"/>
        <v>ErgänzungsfuttermittelKatzeAndere Supplemente</v>
      </c>
      <c r="E409" s="4" t="s">
        <v>91</v>
      </c>
      <c r="F409" s="19" t="s">
        <v>90</v>
      </c>
      <c r="G409" s="4" t="s">
        <v>93</v>
      </c>
      <c r="L409" s="4" t="s">
        <v>2077</v>
      </c>
      <c r="M409">
        <f t="shared" si="113"/>
        <v>0.1</v>
      </c>
      <c r="N409">
        <f t="shared" si="114"/>
        <v>0.1</v>
      </c>
      <c r="P409">
        <f t="shared" si="115"/>
        <v>29.6</v>
      </c>
      <c r="R409">
        <f t="shared" si="111"/>
        <v>1</v>
      </c>
      <c r="U409" s="33" t="str">
        <f t="shared" si="109"/>
        <v/>
      </c>
      <c r="AF409" s="4">
        <f t="shared" si="116"/>
        <v>0</v>
      </c>
      <c r="AL409" s="4">
        <f t="shared" si="110"/>
        <v>0</v>
      </c>
      <c r="BA409" s="4">
        <v>368</v>
      </c>
      <c r="BC409" s="4" t="s">
        <v>2077</v>
      </c>
      <c r="BD409" s="4" t="s">
        <v>2020</v>
      </c>
      <c r="BE409" s="4" t="s">
        <v>91</v>
      </c>
      <c r="BF409" s="4">
        <v>0.1</v>
      </c>
      <c r="BG409" s="4">
        <v>0.1</v>
      </c>
      <c r="BI409" s="4">
        <v>29.6</v>
      </c>
      <c r="BK409" s="4">
        <v>1</v>
      </c>
      <c r="BL409" s="4" t="s">
        <v>2079</v>
      </c>
      <c r="BM409" s="4" t="s">
        <v>2078</v>
      </c>
    </row>
    <row r="410" spans="4:65">
      <c r="D410" s="17" t="str">
        <f t="shared" si="112"/>
        <v>ErgänzungsfuttermittelKatzeAndere Supplemente</v>
      </c>
      <c r="E410" s="4" t="s">
        <v>91</v>
      </c>
      <c r="F410" s="19" t="s">
        <v>90</v>
      </c>
      <c r="G410" s="4" t="s">
        <v>93</v>
      </c>
      <c r="L410" s="4" t="s">
        <v>2080</v>
      </c>
      <c r="M410">
        <f t="shared" si="113"/>
        <v>0.2</v>
      </c>
      <c r="N410">
        <f t="shared" si="114"/>
        <v>0.4</v>
      </c>
      <c r="P410">
        <f t="shared" si="115"/>
        <v>0</v>
      </c>
      <c r="R410">
        <f t="shared" si="111"/>
        <v>0</v>
      </c>
      <c r="S410" s="4">
        <v>280</v>
      </c>
      <c r="T410" s="4">
        <v>2</v>
      </c>
      <c r="U410" s="33">
        <f t="shared" si="109"/>
        <v>140</v>
      </c>
      <c r="X410" s="4">
        <v>30</v>
      </c>
      <c r="AF410" s="4">
        <f t="shared" si="116"/>
        <v>0</v>
      </c>
      <c r="AL410" s="4">
        <f t="shared" si="110"/>
        <v>0</v>
      </c>
      <c r="BA410" s="4">
        <v>160</v>
      </c>
      <c r="BC410" s="4" t="s">
        <v>2081</v>
      </c>
      <c r="BD410" s="4" t="s">
        <v>2020</v>
      </c>
      <c r="BE410" s="4" t="s">
        <v>91</v>
      </c>
      <c r="BF410" s="4">
        <v>0.2</v>
      </c>
      <c r="BG410" s="4">
        <v>0.4</v>
      </c>
      <c r="BL410" s="4" t="s">
        <v>2083</v>
      </c>
      <c r="BM410" s="4" t="s">
        <v>2082</v>
      </c>
    </row>
    <row r="411" spans="4:65">
      <c r="D411" s="17" t="str">
        <f t="shared" si="112"/>
        <v>ErgänzungsfuttermittelKatzeAndere Supplemente</v>
      </c>
      <c r="E411" s="4" t="s">
        <v>91</v>
      </c>
      <c r="F411" s="19" t="s">
        <v>90</v>
      </c>
      <c r="G411" s="4" t="s">
        <v>93</v>
      </c>
      <c r="L411" s="4" t="s">
        <v>2084</v>
      </c>
      <c r="M411">
        <f t="shared" si="113"/>
        <v>14.6</v>
      </c>
      <c r="N411">
        <f t="shared" si="114"/>
        <v>10.8</v>
      </c>
      <c r="P411">
        <f t="shared" si="115"/>
        <v>2.1</v>
      </c>
      <c r="R411">
        <f t="shared" si="111"/>
        <v>14.2</v>
      </c>
      <c r="S411" s="4">
        <v>1580</v>
      </c>
      <c r="T411" s="4">
        <v>170</v>
      </c>
      <c r="U411" s="33">
        <f t="shared" si="109"/>
        <v>9.2941176470588243</v>
      </c>
      <c r="X411" s="4">
        <v>10</v>
      </c>
      <c r="AF411" s="4">
        <f t="shared" si="116"/>
        <v>0</v>
      </c>
      <c r="AL411" s="4">
        <f t="shared" si="110"/>
        <v>0</v>
      </c>
      <c r="BA411" s="4">
        <v>85</v>
      </c>
      <c r="BB411" s="4">
        <v>0.75</v>
      </c>
      <c r="BC411" s="4" t="s">
        <v>2085</v>
      </c>
      <c r="BD411" s="4" t="s">
        <v>2020</v>
      </c>
      <c r="BE411" s="4" t="s">
        <v>91</v>
      </c>
      <c r="BF411" s="4">
        <v>14.6</v>
      </c>
      <c r="BG411" s="4">
        <v>10.8</v>
      </c>
      <c r="BI411" s="4">
        <v>2.1</v>
      </c>
      <c r="BK411" s="4">
        <v>14.2</v>
      </c>
      <c r="BL411" s="4" t="s">
        <v>2087</v>
      </c>
      <c r="BM411" s="4" t="s">
        <v>2086</v>
      </c>
    </row>
    <row r="412" spans="4:65">
      <c r="D412" s="17" t="str">
        <f t="shared" si="112"/>
        <v>ErgänzungsfuttermittelKatzeAndere Supplemente</v>
      </c>
      <c r="E412" s="4" t="s">
        <v>91</v>
      </c>
      <c r="F412" s="19" t="s">
        <v>90</v>
      </c>
      <c r="G412" s="4" t="s">
        <v>93</v>
      </c>
      <c r="L412" s="4" t="s">
        <v>2088</v>
      </c>
      <c r="M412">
        <f t="shared" si="113"/>
        <v>6.8</v>
      </c>
      <c r="N412">
        <f t="shared" si="114"/>
        <v>4.8</v>
      </c>
      <c r="P412">
        <f t="shared" si="115"/>
        <v>26.9</v>
      </c>
      <c r="R412">
        <f t="shared" si="111"/>
        <v>12</v>
      </c>
      <c r="S412" s="4">
        <v>770</v>
      </c>
      <c r="T412" s="4">
        <v>10</v>
      </c>
      <c r="U412" s="33">
        <f t="shared" si="109"/>
        <v>77</v>
      </c>
      <c r="X412" s="4">
        <v>90</v>
      </c>
      <c r="AF412" s="4">
        <f t="shared" si="116"/>
        <v>0</v>
      </c>
      <c r="AL412" s="4">
        <f t="shared" si="110"/>
        <v>0</v>
      </c>
      <c r="BA412" s="4">
        <v>320</v>
      </c>
      <c r="BB412" s="4">
        <v>0.75</v>
      </c>
      <c r="BC412" s="4" t="s">
        <v>2088</v>
      </c>
      <c r="BD412" s="4" t="s">
        <v>2020</v>
      </c>
      <c r="BE412" s="4" t="s">
        <v>91</v>
      </c>
      <c r="BF412" s="4">
        <v>6.8</v>
      </c>
      <c r="BG412" s="4">
        <v>4.8</v>
      </c>
      <c r="BI412" s="4">
        <v>26.9</v>
      </c>
      <c r="BK412" s="4">
        <v>12</v>
      </c>
      <c r="BL412" s="4" t="s">
        <v>2090</v>
      </c>
      <c r="BM412" s="4" t="s">
        <v>2089</v>
      </c>
    </row>
    <row r="413" spans="4:65">
      <c r="D413" s="17" t="str">
        <f t="shared" si="112"/>
        <v>ErgänzungsfuttermittelKatzeAndere Supplemente</v>
      </c>
      <c r="E413" s="4" t="s">
        <v>91</v>
      </c>
      <c r="F413" s="19" t="s">
        <v>90</v>
      </c>
      <c r="G413" s="4" t="s">
        <v>93</v>
      </c>
      <c r="L413" s="4" t="s">
        <v>2095</v>
      </c>
      <c r="M413">
        <f t="shared" si="113"/>
        <v>12.4</v>
      </c>
      <c r="N413">
        <f t="shared" si="114"/>
        <v>2.9</v>
      </c>
      <c r="P413">
        <f t="shared" si="115"/>
        <v>1.3</v>
      </c>
      <c r="R413">
        <f t="shared" si="111"/>
        <v>3</v>
      </c>
      <c r="S413" s="4">
        <v>630</v>
      </c>
      <c r="T413" s="4">
        <v>40</v>
      </c>
      <c r="U413" s="33">
        <f t="shared" si="109"/>
        <v>15.75</v>
      </c>
      <c r="X413" s="4">
        <v>80</v>
      </c>
      <c r="AF413" s="4">
        <f t="shared" si="116"/>
        <v>0</v>
      </c>
      <c r="AL413" s="4">
        <f t="shared" si="110"/>
        <v>0</v>
      </c>
      <c r="BA413" s="4">
        <v>294</v>
      </c>
      <c r="BB413" s="4">
        <v>0.5</v>
      </c>
      <c r="BC413" s="4" t="s">
        <v>2095</v>
      </c>
      <c r="BD413" s="4" t="s">
        <v>2020</v>
      </c>
      <c r="BE413" s="4" t="s">
        <v>91</v>
      </c>
      <c r="BF413" s="4">
        <v>12.4</v>
      </c>
      <c r="BG413" s="4">
        <v>2.9</v>
      </c>
      <c r="BI413" s="4">
        <v>1.3</v>
      </c>
      <c r="BK413" s="4">
        <v>3</v>
      </c>
      <c r="BL413" s="4" t="s">
        <v>2097</v>
      </c>
      <c r="BM413" s="4" t="s">
        <v>2096</v>
      </c>
    </row>
    <row r="414" spans="4:65">
      <c r="D414" s="17" t="str">
        <f t="shared" si="112"/>
        <v>ErgänzungsfuttermittelKatzeAndere Supplemente</v>
      </c>
      <c r="E414" s="4" t="s">
        <v>91</v>
      </c>
      <c r="F414" s="19" t="s">
        <v>90</v>
      </c>
      <c r="G414" s="4" t="s">
        <v>93</v>
      </c>
      <c r="L414" s="4" t="s">
        <v>2098</v>
      </c>
      <c r="M414">
        <f t="shared" si="113"/>
        <v>0.3</v>
      </c>
      <c r="N414">
        <f t="shared" si="114"/>
        <v>0.5</v>
      </c>
      <c r="P414">
        <f t="shared" si="115"/>
        <v>0</v>
      </c>
      <c r="R414">
        <f t="shared" si="111"/>
        <v>0</v>
      </c>
      <c r="S414" s="4">
        <v>330</v>
      </c>
      <c r="T414" s="4">
        <v>80</v>
      </c>
      <c r="U414" s="33">
        <f t="shared" si="109"/>
        <v>4.125</v>
      </c>
      <c r="X414" s="4">
        <v>60</v>
      </c>
      <c r="AF414" s="4">
        <f t="shared" si="116"/>
        <v>0</v>
      </c>
      <c r="AL414" s="4">
        <f t="shared" si="110"/>
        <v>0</v>
      </c>
      <c r="BA414" s="4">
        <v>160</v>
      </c>
      <c r="BC414" s="4" t="s">
        <v>2098</v>
      </c>
      <c r="BD414" s="4" t="s">
        <v>2020</v>
      </c>
      <c r="BE414" s="4" t="s">
        <v>91</v>
      </c>
      <c r="BF414" s="4">
        <v>0.3</v>
      </c>
      <c r="BG414" s="4">
        <v>0.5</v>
      </c>
      <c r="BL414" s="4" t="s">
        <v>2100</v>
      </c>
      <c r="BM414" s="4" t="s">
        <v>2099</v>
      </c>
    </row>
    <row r="415" spans="4:65">
      <c r="D415" s="17" t="str">
        <f t="shared" si="112"/>
        <v>ErgänzungsfuttermittelKatzeAndere Supplemente</v>
      </c>
      <c r="E415" s="4" t="s">
        <v>91</v>
      </c>
      <c r="F415" s="19" t="s">
        <v>90</v>
      </c>
      <c r="G415" s="4" t="s">
        <v>93</v>
      </c>
      <c r="L415" s="4" t="s">
        <v>2129</v>
      </c>
      <c r="M415">
        <f t="shared" si="113"/>
        <v>0</v>
      </c>
      <c r="N415">
        <f t="shared" si="114"/>
        <v>0</v>
      </c>
      <c r="P415">
        <f t="shared" si="115"/>
        <v>0</v>
      </c>
      <c r="R415">
        <f t="shared" si="111"/>
        <v>0</v>
      </c>
      <c r="U415" s="33" t="str">
        <f t="shared" si="109"/>
        <v/>
      </c>
      <c r="AF415" s="4">
        <f t="shared" si="116"/>
        <v>0</v>
      </c>
      <c r="AL415" s="4">
        <f t="shared" si="110"/>
        <v>0</v>
      </c>
      <c r="BA415" s="4">
        <v>41.2</v>
      </c>
      <c r="BB415" s="4">
        <v>5</v>
      </c>
      <c r="BC415" s="4" t="s">
        <v>2129</v>
      </c>
      <c r="BD415" s="4" t="s">
        <v>2130</v>
      </c>
      <c r="BE415" s="4" t="s">
        <v>91</v>
      </c>
      <c r="BL415" s="4" t="s">
        <v>2132</v>
      </c>
      <c r="BM415" s="4" t="s">
        <v>2131</v>
      </c>
    </row>
    <row r="416" spans="4:65">
      <c r="D416" s="17" t="str">
        <f t="shared" si="112"/>
        <v>ErgänzungsfuttermittelKatzeAndere Supplemente</v>
      </c>
      <c r="E416" s="4" t="s">
        <v>91</v>
      </c>
      <c r="F416" s="19" t="s">
        <v>90</v>
      </c>
      <c r="G416" s="4" t="s">
        <v>93</v>
      </c>
      <c r="L416" s="4" t="s">
        <v>2138</v>
      </c>
      <c r="M416">
        <f t="shared" si="113"/>
        <v>0</v>
      </c>
      <c r="N416">
        <f t="shared" si="114"/>
        <v>0</v>
      </c>
      <c r="P416">
        <f t="shared" si="115"/>
        <v>0</v>
      </c>
      <c r="R416">
        <f t="shared" si="111"/>
        <v>0</v>
      </c>
      <c r="U416" s="33" t="str">
        <f t="shared" si="109"/>
        <v/>
      </c>
      <c r="AF416" s="4">
        <f t="shared" si="116"/>
        <v>0</v>
      </c>
      <c r="AL416" s="4">
        <f t="shared" si="110"/>
        <v>0</v>
      </c>
      <c r="BC416" s="4" t="s">
        <v>2138</v>
      </c>
      <c r="BD416" s="4" t="s">
        <v>2116</v>
      </c>
      <c r="BE416" s="4" t="s">
        <v>91</v>
      </c>
      <c r="BL416" s="4" t="s">
        <v>2137</v>
      </c>
      <c r="BM416" s="4" t="s">
        <v>2136</v>
      </c>
    </row>
    <row r="417" spans="4:65">
      <c r="D417" s="17" t="str">
        <f t="shared" si="112"/>
        <v>ErgänzungsfuttermittelKatzeAndere Supplemente</v>
      </c>
      <c r="E417" s="4" t="s">
        <v>91</v>
      </c>
      <c r="F417" s="19" t="s">
        <v>90</v>
      </c>
      <c r="G417" s="4" t="s">
        <v>93</v>
      </c>
      <c r="L417" s="4" t="s">
        <v>2143</v>
      </c>
      <c r="M417">
        <f t="shared" si="113"/>
        <v>0</v>
      </c>
      <c r="N417">
        <f t="shared" si="114"/>
        <v>0</v>
      </c>
      <c r="P417">
        <f t="shared" si="115"/>
        <v>0</v>
      </c>
      <c r="R417">
        <f t="shared" si="111"/>
        <v>0</v>
      </c>
      <c r="U417" s="33" t="str">
        <f t="shared" si="109"/>
        <v/>
      </c>
      <c r="AF417" s="4">
        <f t="shared" si="116"/>
        <v>0</v>
      </c>
      <c r="AL417" s="4">
        <f t="shared" si="110"/>
        <v>0</v>
      </c>
      <c r="BA417" s="4">
        <v>232.5</v>
      </c>
      <c r="BB417" s="4">
        <v>0.8</v>
      </c>
      <c r="BC417" s="4" t="s">
        <v>2143</v>
      </c>
      <c r="BD417" s="4" t="s">
        <v>2116</v>
      </c>
      <c r="BE417" s="4" t="s">
        <v>91</v>
      </c>
      <c r="BL417" s="4" t="s">
        <v>2145</v>
      </c>
      <c r="BM417" s="4" t="s">
        <v>2144</v>
      </c>
    </row>
    <row r="418" spans="4:65" ht="12" customHeight="1">
      <c r="D418" s="17" t="str">
        <f t="shared" si="112"/>
        <v>ErgänzungsfuttermittelKatzeAndere Supplemente</v>
      </c>
      <c r="E418" s="4" t="s">
        <v>91</v>
      </c>
      <c r="F418" s="19" t="s">
        <v>90</v>
      </c>
      <c r="G418" s="4" t="s">
        <v>93</v>
      </c>
      <c r="L418" s="4" t="s">
        <v>2156</v>
      </c>
      <c r="M418">
        <f t="shared" si="113"/>
        <v>6.2</v>
      </c>
      <c r="N418">
        <f t="shared" si="114"/>
        <v>8.4</v>
      </c>
      <c r="P418">
        <f t="shared" si="115"/>
        <v>4.3</v>
      </c>
      <c r="R418">
        <f t="shared" si="111"/>
        <v>14.5</v>
      </c>
      <c r="U418" s="33" t="str">
        <f t="shared" si="109"/>
        <v/>
      </c>
      <c r="AF418" s="4">
        <f t="shared" si="116"/>
        <v>0</v>
      </c>
      <c r="AL418" s="4">
        <f t="shared" si="110"/>
        <v>0</v>
      </c>
      <c r="BA418" s="4">
        <v>79.33</v>
      </c>
      <c r="BC418" s="4" t="s">
        <v>2156</v>
      </c>
      <c r="BD418" s="4" t="s">
        <v>2116</v>
      </c>
      <c r="BE418" s="4" t="s">
        <v>91</v>
      </c>
      <c r="BF418" s="4">
        <v>6.2</v>
      </c>
      <c r="BG418" s="4">
        <v>8.4</v>
      </c>
      <c r="BI418" s="4">
        <v>4.3</v>
      </c>
      <c r="BK418" s="4">
        <v>14.5</v>
      </c>
      <c r="BL418" s="4" t="s">
        <v>2158</v>
      </c>
      <c r="BM418" s="4" t="s">
        <v>2157</v>
      </c>
    </row>
    <row r="419" spans="4:65">
      <c r="D419" s="17" t="str">
        <f t="shared" si="112"/>
        <v>ErgänzungsfuttermittelKatzeAndere Supplemente</v>
      </c>
      <c r="E419" s="4" t="s">
        <v>91</v>
      </c>
      <c r="F419" s="19" t="s">
        <v>90</v>
      </c>
      <c r="G419" s="4" t="s">
        <v>93</v>
      </c>
      <c r="L419" s="4" t="s">
        <v>2159</v>
      </c>
      <c r="M419">
        <f t="shared" si="113"/>
        <v>19.600000000000001</v>
      </c>
      <c r="N419">
        <f t="shared" si="114"/>
        <v>13.3</v>
      </c>
      <c r="P419">
        <f t="shared" si="115"/>
        <v>1.6</v>
      </c>
      <c r="R419">
        <f t="shared" si="111"/>
        <v>13.9</v>
      </c>
      <c r="U419" s="33" t="str">
        <f t="shared" si="109"/>
        <v/>
      </c>
      <c r="AF419" s="4">
        <f t="shared" si="116"/>
        <v>0</v>
      </c>
      <c r="AL419" s="4">
        <f t="shared" si="110"/>
        <v>0</v>
      </c>
      <c r="BA419" s="4">
        <v>106.67</v>
      </c>
      <c r="BC419" s="4" t="s">
        <v>2159</v>
      </c>
      <c r="BD419" s="4" t="s">
        <v>2116</v>
      </c>
      <c r="BE419" s="4" t="s">
        <v>91</v>
      </c>
      <c r="BF419" s="4">
        <v>19.600000000000001</v>
      </c>
      <c r="BG419" s="4">
        <v>13.3</v>
      </c>
      <c r="BI419" s="4">
        <v>1.6</v>
      </c>
      <c r="BK419" s="4">
        <v>13.9</v>
      </c>
      <c r="BL419" s="4" t="s">
        <v>2161</v>
      </c>
      <c r="BM419" s="4" t="s">
        <v>2160</v>
      </c>
    </row>
    <row r="420" spans="4:65">
      <c r="D420" s="17" t="str">
        <f t="shared" si="112"/>
        <v>ErgänzungsfuttermittelKatzeAndere Supplemente</v>
      </c>
      <c r="E420" s="4" t="s">
        <v>91</v>
      </c>
      <c r="F420" s="19" t="s">
        <v>90</v>
      </c>
      <c r="G420" s="4" t="s">
        <v>93</v>
      </c>
      <c r="L420" s="4" t="s">
        <v>2162</v>
      </c>
      <c r="M420">
        <f t="shared" si="113"/>
        <v>11.2</v>
      </c>
      <c r="N420">
        <f t="shared" si="114"/>
        <v>16.100000000000001</v>
      </c>
      <c r="P420">
        <f t="shared" si="115"/>
        <v>6.3</v>
      </c>
      <c r="R420">
        <f t="shared" si="111"/>
        <v>14.5</v>
      </c>
      <c r="U420" s="33" t="str">
        <f t="shared" si="109"/>
        <v/>
      </c>
      <c r="AF420" s="4">
        <f t="shared" si="116"/>
        <v>0</v>
      </c>
      <c r="AL420" s="4">
        <f t="shared" si="110"/>
        <v>0</v>
      </c>
      <c r="BA420" s="4">
        <v>103.27</v>
      </c>
      <c r="BC420" s="4" t="s">
        <v>2162</v>
      </c>
      <c r="BD420" s="4" t="s">
        <v>2116</v>
      </c>
      <c r="BE420" s="4" t="s">
        <v>91</v>
      </c>
      <c r="BF420" s="4">
        <v>11.2</v>
      </c>
      <c r="BG420" s="4">
        <v>16.100000000000001</v>
      </c>
      <c r="BI420" s="4">
        <v>6.3</v>
      </c>
      <c r="BK420" s="4">
        <v>14.5</v>
      </c>
      <c r="BL420" s="4" t="s">
        <v>2164</v>
      </c>
      <c r="BM420" s="4" t="s">
        <v>2163</v>
      </c>
    </row>
    <row r="421" spans="4:65">
      <c r="D421" s="17" t="str">
        <f t="shared" si="112"/>
        <v>ErgänzungsfuttermittelKatzeAndere Supplemente</v>
      </c>
      <c r="E421" s="4" t="s">
        <v>91</v>
      </c>
      <c r="F421" s="19" t="s">
        <v>90</v>
      </c>
      <c r="G421" s="4" t="s">
        <v>93</v>
      </c>
      <c r="L421" s="4" t="s">
        <v>2165</v>
      </c>
      <c r="M421">
        <f t="shared" si="113"/>
        <v>11.4</v>
      </c>
      <c r="N421">
        <f t="shared" si="114"/>
        <v>14.8</v>
      </c>
      <c r="P421">
        <f t="shared" si="115"/>
        <v>4.9000000000000004</v>
      </c>
      <c r="R421">
        <f t="shared" si="111"/>
        <v>14.1</v>
      </c>
      <c r="U421" s="33" t="str">
        <f t="shared" si="109"/>
        <v/>
      </c>
      <c r="AF421" s="4">
        <f t="shared" si="116"/>
        <v>0</v>
      </c>
      <c r="AL421" s="4">
        <f t="shared" si="110"/>
        <v>0</v>
      </c>
      <c r="BA421" s="4">
        <v>94</v>
      </c>
      <c r="BC421" s="4" t="s">
        <v>2165</v>
      </c>
      <c r="BD421" s="4" t="s">
        <v>2116</v>
      </c>
      <c r="BE421" s="4" t="s">
        <v>91</v>
      </c>
      <c r="BF421" s="4">
        <v>11.4</v>
      </c>
      <c r="BG421" s="4">
        <v>14.8</v>
      </c>
      <c r="BI421" s="4">
        <v>4.9000000000000004</v>
      </c>
      <c r="BK421" s="4">
        <v>14.1</v>
      </c>
      <c r="BL421" s="4" t="s">
        <v>2167</v>
      </c>
      <c r="BM421" s="4" t="s">
        <v>2166</v>
      </c>
    </row>
    <row r="422" spans="4:65">
      <c r="D422" s="17" t="str">
        <f t="shared" si="112"/>
        <v>ErgänzungsfuttermittelKatzeAndere Supplemente</v>
      </c>
      <c r="E422" s="4" t="s">
        <v>91</v>
      </c>
      <c r="F422" s="19" t="s">
        <v>90</v>
      </c>
      <c r="G422" s="4" t="s">
        <v>93</v>
      </c>
      <c r="L422" s="4" t="s">
        <v>2168</v>
      </c>
      <c r="M422">
        <f t="shared" si="113"/>
        <v>12.5</v>
      </c>
      <c r="N422">
        <f t="shared" si="114"/>
        <v>26.7</v>
      </c>
      <c r="P422">
        <f t="shared" si="115"/>
        <v>3.3</v>
      </c>
      <c r="R422">
        <f t="shared" si="111"/>
        <v>14.1</v>
      </c>
      <c r="U422" s="33" t="str">
        <f t="shared" si="109"/>
        <v/>
      </c>
      <c r="AF422" s="4">
        <f t="shared" si="116"/>
        <v>0</v>
      </c>
      <c r="AL422" s="4">
        <f t="shared" si="110"/>
        <v>0</v>
      </c>
      <c r="BA422" s="4">
        <v>79.5</v>
      </c>
      <c r="BC422" s="4" t="s">
        <v>2168</v>
      </c>
      <c r="BD422" s="4" t="s">
        <v>2116</v>
      </c>
      <c r="BE422" s="4" t="s">
        <v>91</v>
      </c>
      <c r="BF422" s="4">
        <v>12.5</v>
      </c>
      <c r="BG422" s="4">
        <v>26.7</v>
      </c>
      <c r="BI422" s="4">
        <v>3.3</v>
      </c>
      <c r="BK422" s="4">
        <v>14.1</v>
      </c>
      <c r="BL422" s="4" t="s">
        <v>2170</v>
      </c>
      <c r="BM422" s="4" t="s">
        <v>2169</v>
      </c>
    </row>
    <row r="423" spans="4:65">
      <c r="D423" s="17" t="str">
        <f t="shared" si="112"/>
        <v>ErgänzungsfuttermittelKatzeAndere Supplemente</v>
      </c>
      <c r="E423" s="4" t="s">
        <v>91</v>
      </c>
      <c r="F423" s="19" t="s">
        <v>90</v>
      </c>
      <c r="G423" s="4" t="s">
        <v>93</v>
      </c>
      <c r="L423" s="4" t="s">
        <v>2185</v>
      </c>
      <c r="M423">
        <f t="shared" si="113"/>
        <v>17.399999999999999</v>
      </c>
      <c r="N423">
        <f t="shared" si="114"/>
        <v>14.2</v>
      </c>
      <c r="P423">
        <f t="shared" si="115"/>
        <v>3.1</v>
      </c>
      <c r="R423">
        <f t="shared" si="111"/>
        <v>15.8</v>
      </c>
      <c r="U423" s="33" t="str">
        <f t="shared" si="109"/>
        <v/>
      </c>
      <c r="AF423" s="4">
        <f t="shared" si="116"/>
        <v>0</v>
      </c>
      <c r="AL423" s="4">
        <f t="shared" si="110"/>
        <v>0</v>
      </c>
      <c r="BA423" s="4">
        <v>109.93</v>
      </c>
      <c r="BC423" s="4" t="s">
        <v>2185</v>
      </c>
      <c r="BD423" s="4" t="s">
        <v>2116</v>
      </c>
      <c r="BE423" s="4" t="s">
        <v>91</v>
      </c>
      <c r="BF423" s="4">
        <v>17.399999999999999</v>
      </c>
      <c r="BG423" s="4">
        <v>14.2</v>
      </c>
      <c r="BI423" s="4">
        <v>3.1</v>
      </c>
      <c r="BK423" s="4">
        <v>15.8</v>
      </c>
      <c r="BL423" s="4" t="s">
        <v>2186</v>
      </c>
      <c r="BM423" s="4" t="s">
        <v>2187</v>
      </c>
    </row>
    <row r="424" spans="4:65">
      <c r="D424" s="17" t="str">
        <f t="shared" si="112"/>
        <v>ErgänzungsfuttermittelKatzeAndere Supplemente</v>
      </c>
      <c r="E424" s="4" t="s">
        <v>91</v>
      </c>
      <c r="F424" s="19" t="s">
        <v>90</v>
      </c>
      <c r="G424" s="4" t="s">
        <v>93</v>
      </c>
      <c r="L424" s="4" t="s">
        <v>2227</v>
      </c>
      <c r="M424">
        <f t="shared" si="113"/>
        <v>1.5</v>
      </c>
      <c r="N424">
        <f t="shared" si="114"/>
        <v>25.3</v>
      </c>
      <c r="P424">
        <f t="shared" si="115"/>
        <v>2.2999999999999998</v>
      </c>
      <c r="R424">
        <f t="shared" si="111"/>
        <v>4</v>
      </c>
      <c r="U424" s="33" t="str">
        <f t="shared" si="109"/>
        <v/>
      </c>
      <c r="AF424" s="4">
        <f t="shared" si="116"/>
        <v>0</v>
      </c>
      <c r="AL424" s="4">
        <f t="shared" si="110"/>
        <v>0</v>
      </c>
      <c r="BA424" s="4">
        <v>116.5</v>
      </c>
      <c r="BB424" s="4">
        <v>1</v>
      </c>
      <c r="BC424" s="4" t="s">
        <v>2228</v>
      </c>
      <c r="BD424" s="4" t="s">
        <v>2188</v>
      </c>
      <c r="BE424" s="4" t="s">
        <v>91</v>
      </c>
      <c r="BF424" s="4">
        <v>1.5</v>
      </c>
      <c r="BG424" s="4">
        <v>25.3</v>
      </c>
      <c r="BI424" s="4">
        <v>2.2999999999999998</v>
      </c>
      <c r="BK424" s="4">
        <v>4</v>
      </c>
      <c r="BL424" s="4" t="s">
        <v>2230</v>
      </c>
      <c r="BM424" s="4" t="s">
        <v>2229</v>
      </c>
    </row>
    <row r="425" spans="4:65">
      <c r="D425" s="17" t="str">
        <f t="shared" si="112"/>
        <v>ErgänzungsfuttermittelKatzeAndere Supplemente</v>
      </c>
      <c r="E425" s="4" t="s">
        <v>91</v>
      </c>
      <c r="F425" s="19" t="s">
        <v>90</v>
      </c>
      <c r="G425" s="4" t="s">
        <v>93</v>
      </c>
      <c r="L425" s="4" t="s">
        <v>2253</v>
      </c>
      <c r="M425">
        <f t="shared" si="113"/>
        <v>5.0999999999999996</v>
      </c>
      <c r="N425">
        <f t="shared" si="114"/>
        <v>15.6</v>
      </c>
      <c r="P425">
        <f t="shared" si="115"/>
        <v>17.7</v>
      </c>
      <c r="R425">
        <f t="shared" si="111"/>
        <v>2.4</v>
      </c>
      <c r="U425" s="33" t="str">
        <f t="shared" si="109"/>
        <v/>
      </c>
      <c r="AF425" s="4">
        <f t="shared" si="116"/>
        <v>0</v>
      </c>
      <c r="AL425" s="4">
        <f t="shared" si="110"/>
        <v>0</v>
      </c>
      <c r="BA425" s="4">
        <v>29.9</v>
      </c>
      <c r="BC425" s="4" t="s">
        <v>2253</v>
      </c>
      <c r="BD425" s="4" t="s">
        <v>2188</v>
      </c>
      <c r="BE425" s="4" t="s">
        <v>91</v>
      </c>
      <c r="BF425" s="4">
        <v>5.0999999999999996</v>
      </c>
      <c r="BG425" s="4">
        <v>15.6</v>
      </c>
      <c r="BI425" s="4">
        <v>17.7</v>
      </c>
      <c r="BK425" s="4">
        <v>2.4</v>
      </c>
      <c r="BL425" s="4" t="s">
        <v>2255</v>
      </c>
      <c r="BM425" s="4" t="s">
        <v>2254</v>
      </c>
    </row>
    <row r="426" spans="4:65">
      <c r="D426" s="17" t="str">
        <f t="shared" si="112"/>
        <v>ErgänzungsfuttermittelKatzeAndere Supplemente</v>
      </c>
      <c r="E426" s="4" t="s">
        <v>91</v>
      </c>
      <c r="F426" s="19" t="s">
        <v>90</v>
      </c>
      <c r="G426" s="4" t="s">
        <v>93</v>
      </c>
      <c r="L426" s="4" t="s">
        <v>2266</v>
      </c>
      <c r="M426">
        <f t="shared" si="113"/>
        <v>9</v>
      </c>
      <c r="N426">
        <f t="shared" si="114"/>
        <v>60</v>
      </c>
      <c r="P426">
        <f t="shared" si="115"/>
        <v>2.5</v>
      </c>
      <c r="R426">
        <f t="shared" si="111"/>
        <v>1.8</v>
      </c>
      <c r="U426" s="33" t="str">
        <f t="shared" si="109"/>
        <v/>
      </c>
      <c r="X426" s="4">
        <v>2000</v>
      </c>
      <c r="AF426" s="4">
        <f t="shared" si="116"/>
        <v>0</v>
      </c>
      <c r="AL426" s="4">
        <f t="shared" si="110"/>
        <v>0</v>
      </c>
      <c r="BA426" s="4">
        <v>349</v>
      </c>
      <c r="BB426" s="4">
        <v>0.3</v>
      </c>
      <c r="BC426" s="4" t="s">
        <v>2267</v>
      </c>
      <c r="BD426" s="4" t="s">
        <v>2268</v>
      </c>
      <c r="BE426" s="4" t="s">
        <v>91</v>
      </c>
      <c r="BF426" s="4">
        <v>9</v>
      </c>
      <c r="BG426" s="4">
        <v>60</v>
      </c>
      <c r="BI426" s="4">
        <v>2.5</v>
      </c>
      <c r="BK426" s="4">
        <v>1.8</v>
      </c>
      <c r="BL426" s="4" t="s">
        <v>2270</v>
      </c>
      <c r="BM426" s="4" t="s">
        <v>2269</v>
      </c>
    </row>
    <row r="427" spans="4:65">
      <c r="D427" s="17" t="str">
        <f t="shared" si="112"/>
        <v>ErgänzungsfuttermittelKatzeAndere Supplemente</v>
      </c>
      <c r="E427" s="4" t="s">
        <v>91</v>
      </c>
      <c r="F427" s="19" t="s">
        <v>90</v>
      </c>
      <c r="G427" s="4" t="s">
        <v>93</v>
      </c>
      <c r="L427" s="4" t="s">
        <v>2275</v>
      </c>
      <c r="M427">
        <f t="shared" si="113"/>
        <v>5.8</v>
      </c>
      <c r="N427">
        <f t="shared" si="114"/>
        <v>14</v>
      </c>
      <c r="P427">
        <f t="shared" si="115"/>
        <v>0.6</v>
      </c>
      <c r="R427">
        <f t="shared" si="111"/>
        <v>2.6</v>
      </c>
      <c r="S427" s="4">
        <v>600</v>
      </c>
      <c r="T427" s="4">
        <v>10</v>
      </c>
      <c r="U427" s="33">
        <f t="shared" si="109"/>
        <v>60</v>
      </c>
      <c r="W427" s="4">
        <v>300</v>
      </c>
      <c r="X427" s="4">
        <v>400</v>
      </c>
      <c r="AF427" s="4">
        <f t="shared" si="116"/>
        <v>0</v>
      </c>
      <c r="AL427" s="4">
        <f t="shared" si="110"/>
        <v>0</v>
      </c>
      <c r="BA427" s="4">
        <v>126.67</v>
      </c>
      <c r="BB427" s="4">
        <v>5</v>
      </c>
      <c r="BC427" s="4" t="s">
        <v>2275</v>
      </c>
      <c r="BD427" s="4" t="s">
        <v>2276</v>
      </c>
      <c r="BE427" s="4" t="s">
        <v>91</v>
      </c>
      <c r="BF427" s="4">
        <v>5.8</v>
      </c>
      <c r="BG427" s="4">
        <v>14</v>
      </c>
      <c r="BI427" s="4">
        <v>0.6</v>
      </c>
      <c r="BK427" s="4">
        <v>2.6</v>
      </c>
      <c r="BL427" s="4" t="s">
        <v>2277</v>
      </c>
      <c r="BM427" s="4" t="s">
        <v>2285</v>
      </c>
    </row>
    <row r="428" spans="4:65">
      <c r="D428" s="17" t="str">
        <f t="shared" si="112"/>
        <v>ErgänzungsfuttermittelKatzeAndere Supplemente</v>
      </c>
      <c r="E428" s="4" t="s">
        <v>91</v>
      </c>
      <c r="F428" s="19" t="s">
        <v>90</v>
      </c>
      <c r="G428" s="4" t="s">
        <v>93</v>
      </c>
      <c r="L428" s="4" t="s">
        <v>2281</v>
      </c>
      <c r="M428">
        <f t="shared" si="113"/>
        <v>9.18</v>
      </c>
      <c r="N428">
        <f t="shared" si="114"/>
        <v>15.62</v>
      </c>
      <c r="P428">
        <f t="shared" si="115"/>
        <v>2.46</v>
      </c>
      <c r="R428">
        <f t="shared" si="111"/>
        <v>17.7</v>
      </c>
      <c r="U428" s="33" t="str">
        <f t="shared" si="109"/>
        <v/>
      </c>
      <c r="AF428" s="4">
        <f t="shared" si="116"/>
        <v>0</v>
      </c>
      <c r="AL428" s="4">
        <f t="shared" si="110"/>
        <v>0</v>
      </c>
      <c r="BA428" s="4">
        <v>196.67</v>
      </c>
      <c r="BB428" s="4">
        <v>0.8</v>
      </c>
      <c r="BC428" s="4" t="s">
        <v>2282</v>
      </c>
      <c r="BD428" s="4" t="s">
        <v>2283</v>
      </c>
      <c r="BE428" s="4" t="s">
        <v>91</v>
      </c>
      <c r="BF428" s="4">
        <v>9.18</v>
      </c>
      <c r="BG428" s="4">
        <v>15.62</v>
      </c>
      <c r="BI428" s="4">
        <v>2.46</v>
      </c>
      <c r="BK428" s="4">
        <v>17.7</v>
      </c>
      <c r="BL428" s="4" t="s">
        <v>2286</v>
      </c>
      <c r="BM428" s="4" t="s">
        <v>2284</v>
      </c>
    </row>
    <row r="429" spans="4:65">
      <c r="D429" s="17" t="str">
        <f t="shared" si="112"/>
        <v>ErgänzungsfuttermittelKatzeAndere Supplemente</v>
      </c>
      <c r="E429" s="4" t="s">
        <v>91</v>
      </c>
      <c r="F429" s="19" t="s">
        <v>90</v>
      </c>
      <c r="G429" s="4" t="s">
        <v>93</v>
      </c>
      <c r="L429" s="4" t="s">
        <v>2290</v>
      </c>
      <c r="M429">
        <f t="shared" si="113"/>
        <v>9.42</v>
      </c>
      <c r="N429">
        <f t="shared" si="114"/>
        <v>14.45</v>
      </c>
      <c r="P429">
        <f t="shared" si="115"/>
        <v>2.67</v>
      </c>
      <c r="R429">
        <f t="shared" si="111"/>
        <v>1.1000000000000001</v>
      </c>
      <c r="U429" s="33" t="str">
        <f t="shared" si="109"/>
        <v/>
      </c>
      <c r="AF429" s="4">
        <f t="shared" si="116"/>
        <v>0</v>
      </c>
      <c r="AL429" s="4">
        <f t="shared" si="110"/>
        <v>0</v>
      </c>
      <c r="BA429" s="4">
        <v>295</v>
      </c>
      <c r="BB429" s="4">
        <v>0.8</v>
      </c>
      <c r="BC429" s="4" t="s">
        <v>2287</v>
      </c>
      <c r="BD429" s="4" t="s">
        <v>2283</v>
      </c>
      <c r="BE429" s="4" t="s">
        <v>91</v>
      </c>
      <c r="BF429" s="4">
        <v>9.42</v>
      </c>
      <c r="BG429" s="4">
        <v>14.45</v>
      </c>
      <c r="BI429" s="4">
        <v>2.67</v>
      </c>
      <c r="BK429" s="4">
        <v>1.1000000000000001</v>
      </c>
      <c r="BL429" s="4" t="s">
        <v>2289</v>
      </c>
      <c r="BM429" s="4" t="s">
        <v>2288</v>
      </c>
    </row>
    <row r="430" spans="4:65">
      <c r="D430" s="17" t="str">
        <f t="shared" si="112"/>
        <v>ErgänzungsfuttermittelKatzeAndere Supplemente</v>
      </c>
      <c r="E430" s="4" t="s">
        <v>91</v>
      </c>
      <c r="F430" s="19" t="s">
        <v>90</v>
      </c>
      <c r="G430" s="4" t="s">
        <v>93</v>
      </c>
      <c r="L430" s="4" t="s">
        <v>2291</v>
      </c>
      <c r="M430">
        <f t="shared" si="113"/>
        <v>8.14</v>
      </c>
      <c r="N430">
        <f t="shared" si="114"/>
        <v>12.97</v>
      </c>
      <c r="P430">
        <f t="shared" si="115"/>
        <v>3.22</v>
      </c>
      <c r="R430">
        <f t="shared" si="111"/>
        <v>15.5</v>
      </c>
      <c r="U430" s="33" t="str">
        <f t="shared" si="109"/>
        <v/>
      </c>
      <c r="AF430" s="4">
        <f t="shared" si="116"/>
        <v>0</v>
      </c>
      <c r="AL430" s="4">
        <f t="shared" si="110"/>
        <v>0</v>
      </c>
      <c r="BA430" s="4">
        <v>295</v>
      </c>
      <c r="BB430" s="4">
        <v>0.8</v>
      </c>
      <c r="BC430" s="4" t="s">
        <v>2292</v>
      </c>
      <c r="BD430" s="4" t="s">
        <v>2283</v>
      </c>
      <c r="BE430" s="4" t="s">
        <v>91</v>
      </c>
      <c r="BF430" s="4">
        <v>8.14</v>
      </c>
      <c r="BG430" s="4">
        <v>12.97</v>
      </c>
      <c r="BI430" s="4">
        <v>3.22</v>
      </c>
      <c r="BK430" s="4">
        <v>15.5</v>
      </c>
      <c r="BL430" s="4" t="s">
        <v>2294</v>
      </c>
      <c r="BM430" s="4" t="s">
        <v>2293</v>
      </c>
    </row>
    <row r="431" spans="4:65">
      <c r="D431" s="17" t="str">
        <f t="shared" si="112"/>
        <v>ErgänzungsfuttermittelKatzeAndere Supplemente</v>
      </c>
      <c r="E431" s="4" t="s">
        <v>91</v>
      </c>
      <c r="F431" s="19" t="s">
        <v>90</v>
      </c>
      <c r="G431" s="4" t="s">
        <v>93</v>
      </c>
      <c r="L431" s="4" t="s">
        <v>2295</v>
      </c>
      <c r="M431">
        <f t="shared" si="113"/>
        <v>8.5</v>
      </c>
      <c r="N431">
        <f t="shared" si="114"/>
        <v>14.9</v>
      </c>
      <c r="P431">
        <f t="shared" si="115"/>
        <v>5.7</v>
      </c>
      <c r="R431">
        <f t="shared" si="111"/>
        <v>17.600000000000001</v>
      </c>
      <c r="U431" s="33" t="str">
        <f t="shared" si="109"/>
        <v/>
      </c>
      <c r="AF431" s="4">
        <f t="shared" si="116"/>
        <v>0</v>
      </c>
      <c r="AL431" s="4">
        <f t="shared" si="110"/>
        <v>0</v>
      </c>
      <c r="BA431" s="4">
        <v>196.67</v>
      </c>
      <c r="BB431" s="4">
        <v>0.8</v>
      </c>
      <c r="BC431" s="4" t="s">
        <v>2296</v>
      </c>
      <c r="BD431" s="4" t="s">
        <v>2283</v>
      </c>
      <c r="BE431" s="4" t="s">
        <v>91</v>
      </c>
      <c r="BF431" s="4">
        <v>8.5</v>
      </c>
      <c r="BG431" s="4">
        <v>14.9</v>
      </c>
      <c r="BI431" s="4">
        <v>5.7</v>
      </c>
      <c r="BK431" s="4">
        <v>17.600000000000001</v>
      </c>
      <c r="BL431" s="4" t="s">
        <v>2297</v>
      </c>
      <c r="BM431" s="4" t="s">
        <v>2298</v>
      </c>
    </row>
    <row r="432" spans="4:65">
      <c r="D432" s="17" t="str">
        <f t="shared" si="112"/>
        <v>ErgänzungsfuttermittelKatzeAndere Supplemente</v>
      </c>
      <c r="E432" s="4" t="s">
        <v>91</v>
      </c>
      <c r="F432" s="19" t="s">
        <v>90</v>
      </c>
      <c r="G432" s="4" t="s">
        <v>93</v>
      </c>
      <c r="L432" s="4" t="s">
        <v>2302</v>
      </c>
      <c r="M432">
        <f t="shared" si="113"/>
        <v>6.86</v>
      </c>
      <c r="N432">
        <f t="shared" si="114"/>
        <v>13.62</v>
      </c>
      <c r="P432">
        <f t="shared" si="115"/>
        <v>1.19</v>
      </c>
      <c r="R432">
        <f t="shared" si="111"/>
        <v>23.2</v>
      </c>
      <c r="U432" s="33" t="str">
        <f t="shared" si="109"/>
        <v/>
      </c>
      <c r="AF432" s="4">
        <f t="shared" si="116"/>
        <v>0</v>
      </c>
      <c r="AL432" s="4">
        <f t="shared" si="110"/>
        <v>0</v>
      </c>
      <c r="BA432" s="4">
        <v>295</v>
      </c>
      <c r="BB432" s="4">
        <v>0.8</v>
      </c>
      <c r="BC432" s="4" t="s">
        <v>2299</v>
      </c>
      <c r="BD432" s="4" t="s">
        <v>2283</v>
      </c>
      <c r="BE432" s="4" t="s">
        <v>91</v>
      </c>
      <c r="BF432" s="4">
        <v>6.86</v>
      </c>
      <c r="BG432" s="4">
        <v>13.62</v>
      </c>
      <c r="BI432" s="4">
        <v>1.19</v>
      </c>
      <c r="BK432" s="4">
        <v>23.2</v>
      </c>
      <c r="BL432" s="4" t="s">
        <v>2301</v>
      </c>
      <c r="BM432" s="4" t="s">
        <v>2300</v>
      </c>
    </row>
    <row r="433" spans="4:65">
      <c r="D433" s="17" t="str">
        <f t="shared" si="112"/>
        <v>ErgänzungsfuttermittelKatzeAndere Supplemente</v>
      </c>
      <c r="E433" s="4" t="s">
        <v>91</v>
      </c>
      <c r="F433" s="19" t="s">
        <v>90</v>
      </c>
      <c r="G433" s="4" t="s">
        <v>93</v>
      </c>
      <c r="L433" s="4" t="s">
        <v>2303</v>
      </c>
      <c r="M433">
        <f t="shared" si="113"/>
        <v>6.3</v>
      </c>
      <c r="N433">
        <f t="shared" si="114"/>
        <v>29.8</v>
      </c>
      <c r="P433">
        <f t="shared" si="115"/>
        <v>7</v>
      </c>
      <c r="R433">
        <f t="shared" si="111"/>
        <v>12.4</v>
      </c>
      <c r="U433" s="33" t="str">
        <f t="shared" si="109"/>
        <v/>
      </c>
      <c r="AF433" s="4">
        <f t="shared" si="116"/>
        <v>0</v>
      </c>
      <c r="AL433" s="4">
        <f t="shared" si="110"/>
        <v>0</v>
      </c>
      <c r="BA433" s="4">
        <v>295</v>
      </c>
      <c r="BB433" s="4">
        <v>0.8</v>
      </c>
      <c r="BC433" s="4" t="s">
        <v>2304</v>
      </c>
      <c r="BD433" s="4" t="s">
        <v>2283</v>
      </c>
      <c r="BE433" s="4" t="s">
        <v>91</v>
      </c>
      <c r="BF433" s="4">
        <v>6.3</v>
      </c>
      <c r="BG433" s="4">
        <v>29.8</v>
      </c>
      <c r="BI433" s="4">
        <v>7</v>
      </c>
      <c r="BK433" s="4">
        <v>12.4</v>
      </c>
      <c r="BL433" s="4" t="s">
        <v>2306</v>
      </c>
      <c r="BM433" s="4" t="s">
        <v>2305</v>
      </c>
    </row>
    <row r="434" spans="4:65">
      <c r="D434" s="17" t="str">
        <f t="shared" si="112"/>
        <v>ErgänzungsfuttermittelKatzeAndere Supplemente</v>
      </c>
      <c r="E434" s="4" t="s">
        <v>91</v>
      </c>
      <c r="F434" s="19" t="s">
        <v>90</v>
      </c>
      <c r="G434" s="4" t="s">
        <v>93</v>
      </c>
      <c r="L434" s="4" t="s">
        <v>2307</v>
      </c>
      <c r="M434">
        <f t="shared" si="113"/>
        <v>6.85</v>
      </c>
      <c r="N434">
        <f t="shared" si="114"/>
        <v>26</v>
      </c>
      <c r="P434">
        <f t="shared" si="115"/>
        <v>2.4300000000000002</v>
      </c>
      <c r="R434">
        <f t="shared" si="111"/>
        <v>6.15</v>
      </c>
      <c r="U434" s="33" t="str">
        <f t="shared" si="109"/>
        <v/>
      </c>
      <c r="AF434" s="4">
        <f t="shared" si="116"/>
        <v>0</v>
      </c>
      <c r="AL434" s="4">
        <f t="shared" si="110"/>
        <v>0</v>
      </c>
      <c r="BA434" s="4">
        <v>295</v>
      </c>
      <c r="BB434" s="4">
        <v>0.8</v>
      </c>
      <c r="BC434" s="4" t="s">
        <v>2307</v>
      </c>
      <c r="BD434" s="4" t="s">
        <v>2283</v>
      </c>
      <c r="BE434" s="4" t="s">
        <v>91</v>
      </c>
      <c r="BF434" s="4">
        <v>6.85</v>
      </c>
      <c r="BG434" s="4">
        <v>26</v>
      </c>
      <c r="BI434" s="4">
        <v>2.4300000000000002</v>
      </c>
      <c r="BK434" s="4">
        <v>6.15</v>
      </c>
      <c r="BL434" s="4" t="s">
        <v>2309</v>
      </c>
      <c r="BM434" s="4" t="s">
        <v>2308</v>
      </c>
    </row>
    <row r="435" spans="4:65">
      <c r="D435" s="17" t="str">
        <f t="shared" si="112"/>
        <v>ErgänzungsfuttermittelKatzeAndere Supplemente</v>
      </c>
      <c r="E435" s="4" t="s">
        <v>91</v>
      </c>
      <c r="F435" s="19" t="s">
        <v>90</v>
      </c>
      <c r="G435" s="4" t="s">
        <v>93</v>
      </c>
      <c r="L435" s="4" t="s">
        <v>2310</v>
      </c>
      <c r="M435">
        <f t="shared" si="113"/>
        <v>8.08</v>
      </c>
      <c r="N435">
        <f t="shared" si="114"/>
        <v>19.55</v>
      </c>
      <c r="P435">
        <f t="shared" si="115"/>
        <v>6.44</v>
      </c>
      <c r="R435">
        <f t="shared" si="111"/>
        <v>12.9</v>
      </c>
      <c r="U435" s="33" t="str">
        <f t="shared" si="109"/>
        <v/>
      </c>
      <c r="AF435" s="4">
        <f t="shared" si="116"/>
        <v>0</v>
      </c>
      <c r="AL435" s="4">
        <f t="shared" si="110"/>
        <v>0</v>
      </c>
      <c r="BA435" s="4">
        <v>196.67</v>
      </c>
      <c r="BB435" s="4">
        <v>0.8</v>
      </c>
      <c r="BC435" s="4" t="s">
        <v>2310</v>
      </c>
      <c r="BD435" s="4" t="s">
        <v>2283</v>
      </c>
      <c r="BE435" s="4" t="s">
        <v>91</v>
      </c>
      <c r="BF435" s="4">
        <v>8.08</v>
      </c>
      <c r="BG435" s="4">
        <v>19.55</v>
      </c>
      <c r="BI435" s="4">
        <v>6.44</v>
      </c>
      <c r="BK435" s="4">
        <v>12.9</v>
      </c>
      <c r="BL435" s="4" t="s">
        <v>2311</v>
      </c>
      <c r="BM435" s="4" t="s">
        <v>2312</v>
      </c>
    </row>
    <row r="436" spans="4:65">
      <c r="D436" s="17" t="str">
        <f t="shared" si="112"/>
        <v>ErgänzungsfuttermittelKatzeAndere Supplemente</v>
      </c>
      <c r="E436" s="4" t="s">
        <v>91</v>
      </c>
      <c r="F436" s="19" t="s">
        <v>90</v>
      </c>
      <c r="G436" s="4" t="s">
        <v>93</v>
      </c>
      <c r="L436" s="4" t="s">
        <v>2313</v>
      </c>
      <c r="M436">
        <f t="shared" si="113"/>
        <v>6.26</v>
      </c>
      <c r="N436">
        <f t="shared" si="114"/>
        <v>24.2</v>
      </c>
      <c r="P436">
        <f t="shared" si="115"/>
        <v>2.02</v>
      </c>
      <c r="R436">
        <f t="shared" si="111"/>
        <v>3.15</v>
      </c>
      <c r="U436" s="33" t="str">
        <f t="shared" si="109"/>
        <v/>
      </c>
      <c r="AF436" s="4">
        <f t="shared" si="116"/>
        <v>0</v>
      </c>
      <c r="AL436" s="4">
        <f t="shared" si="110"/>
        <v>0</v>
      </c>
      <c r="BA436" s="4">
        <v>295</v>
      </c>
      <c r="BB436" s="4">
        <v>0.8</v>
      </c>
      <c r="BC436" s="4" t="s">
        <v>2313</v>
      </c>
      <c r="BD436" s="4" t="s">
        <v>2283</v>
      </c>
      <c r="BE436" s="4" t="s">
        <v>91</v>
      </c>
      <c r="BF436" s="4">
        <v>6.26</v>
      </c>
      <c r="BG436" s="4">
        <v>24.2</v>
      </c>
      <c r="BI436" s="4">
        <v>2.02</v>
      </c>
      <c r="BK436" s="4">
        <v>3.15</v>
      </c>
      <c r="BL436" s="4" t="s">
        <v>2314</v>
      </c>
      <c r="BM436" s="4" t="s">
        <v>2316</v>
      </c>
    </row>
    <row r="437" spans="4:65">
      <c r="D437" s="17" t="str">
        <f t="shared" si="112"/>
        <v>ErgänzungsfuttermittelKatzeAndere Supplemente</v>
      </c>
      <c r="E437" s="4" t="s">
        <v>91</v>
      </c>
      <c r="F437" s="19" t="s">
        <v>90</v>
      </c>
      <c r="G437" s="4" t="s">
        <v>93</v>
      </c>
      <c r="L437" s="4" t="s">
        <v>2315</v>
      </c>
      <c r="M437">
        <f t="shared" si="113"/>
        <v>8.1</v>
      </c>
      <c r="N437">
        <f t="shared" si="114"/>
        <v>19.7</v>
      </c>
      <c r="P437">
        <f t="shared" si="115"/>
        <v>4.9000000000000004</v>
      </c>
      <c r="R437">
        <f t="shared" si="111"/>
        <v>13.9</v>
      </c>
      <c r="U437" s="33" t="str">
        <f t="shared" si="109"/>
        <v/>
      </c>
      <c r="AF437" s="4">
        <f t="shared" si="116"/>
        <v>0</v>
      </c>
      <c r="AL437" s="4">
        <f t="shared" si="110"/>
        <v>0</v>
      </c>
      <c r="BA437" s="4">
        <v>278</v>
      </c>
      <c r="BB437" s="4">
        <v>2</v>
      </c>
      <c r="BC437" s="4" t="s">
        <v>2315</v>
      </c>
      <c r="BD437" s="4" t="s">
        <v>2283</v>
      </c>
      <c r="BE437" s="4" t="s">
        <v>91</v>
      </c>
      <c r="BF437" s="4">
        <v>8.1</v>
      </c>
      <c r="BG437" s="4">
        <v>19.7</v>
      </c>
      <c r="BI437" s="4">
        <v>4.9000000000000004</v>
      </c>
      <c r="BK437" s="4">
        <v>13.9</v>
      </c>
      <c r="BL437" s="4" t="s">
        <v>2317</v>
      </c>
      <c r="BM437" s="4" t="s">
        <v>2318</v>
      </c>
    </row>
    <row r="438" spans="4:65">
      <c r="D438" s="17" t="str">
        <f t="shared" si="112"/>
        <v>ErgänzungsfuttermittelKatzeAndere Supplemente</v>
      </c>
      <c r="E438" s="4" t="s">
        <v>91</v>
      </c>
      <c r="F438" s="19" t="s">
        <v>90</v>
      </c>
      <c r="G438" s="4" t="s">
        <v>93</v>
      </c>
      <c r="L438" s="4" t="s">
        <v>2332</v>
      </c>
      <c r="M438">
        <f t="shared" si="113"/>
        <v>11</v>
      </c>
      <c r="N438">
        <f t="shared" si="114"/>
        <v>4</v>
      </c>
      <c r="P438">
        <f t="shared" si="115"/>
        <v>2</v>
      </c>
      <c r="R438">
        <f t="shared" si="111"/>
        <v>23</v>
      </c>
      <c r="U438" s="33" t="str">
        <f t="shared" si="109"/>
        <v/>
      </c>
      <c r="AF438" s="4">
        <f t="shared" si="116"/>
        <v>0</v>
      </c>
      <c r="AL438" s="4">
        <f t="shared" si="110"/>
        <v>0</v>
      </c>
      <c r="BA438" s="4">
        <v>248</v>
      </c>
      <c r="BC438" s="4" t="s">
        <v>2332</v>
      </c>
      <c r="BD438" s="4" t="s">
        <v>2322</v>
      </c>
      <c r="BE438" s="4" t="s">
        <v>91</v>
      </c>
      <c r="BF438" s="4">
        <v>11</v>
      </c>
      <c r="BG438" s="4">
        <v>4</v>
      </c>
      <c r="BI438" s="4">
        <v>2</v>
      </c>
      <c r="BK438" s="4">
        <v>23</v>
      </c>
      <c r="BL438" s="4" t="s">
        <v>2334</v>
      </c>
      <c r="BM438" s="4" t="s">
        <v>2333</v>
      </c>
    </row>
    <row r="439" spans="4:65">
      <c r="D439" s="17" t="str">
        <f t="shared" si="112"/>
        <v>ErgänzungsfuttermittelKatzeAndere Supplemente</v>
      </c>
      <c r="E439" s="4" t="s">
        <v>91</v>
      </c>
      <c r="F439" s="19" t="s">
        <v>90</v>
      </c>
      <c r="G439" s="4" t="s">
        <v>93</v>
      </c>
      <c r="L439" s="4" t="s">
        <v>2370</v>
      </c>
      <c r="M439">
        <f t="shared" si="113"/>
        <v>0.9</v>
      </c>
      <c r="N439">
        <f t="shared" si="114"/>
        <v>1.3</v>
      </c>
      <c r="P439">
        <f t="shared" si="115"/>
        <v>0.5</v>
      </c>
      <c r="R439">
        <f t="shared" si="111"/>
        <v>75</v>
      </c>
      <c r="U439" s="33" t="str">
        <f t="shared" si="109"/>
        <v/>
      </c>
      <c r="AF439" s="4">
        <f t="shared" si="116"/>
        <v>0</v>
      </c>
      <c r="AL439" s="4">
        <f t="shared" si="110"/>
        <v>0</v>
      </c>
      <c r="BA439" s="4">
        <v>74.08</v>
      </c>
      <c r="BB439" s="4">
        <v>3</v>
      </c>
      <c r="BC439" s="4" t="s">
        <v>2370</v>
      </c>
      <c r="BD439" s="4" t="s">
        <v>2322</v>
      </c>
      <c r="BE439" s="4" t="s">
        <v>91</v>
      </c>
      <c r="BF439" s="4">
        <v>0.9</v>
      </c>
      <c r="BG439" s="4">
        <v>1.3</v>
      </c>
      <c r="BI439" s="4">
        <v>0.5</v>
      </c>
      <c r="BK439" s="4">
        <v>75</v>
      </c>
      <c r="BL439" s="4" t="s">
        <v>2372</v>
      </c>
      <c r="BM439" s="4" t="s">
        <v>2371</v>
      </c>
    </row>
    <row r="440" spans="4:65">
      <c r="D440" s="17" t="str">
        <f t="shared" si="112"/>
        <v>ErgänzungsfuttermittelKatzeAndere Supplemente</v>
      </c>
      <c r="E440" s="4" t="s">
        <v>91</v>
      </c>
      <c r="F440" s="19" t="s">
        <v>90</v>
      </c>
      <c r="G440" s="4" t="s">
        <v>93</v>
      </c>
      <c r="L440" s="4" t="s">
        <v>2390</v>
      </c>
      <c r="M440">
        <f t="shared" si="113"/>
        <v>9</v>
      </c>
      <c r="N440">
        <f t="shared" si="114"/>
        <v>64</v>
      </c>
      <c r="P440">
        <f t="shared" si="115"/>
        <v>0.5</v>
      </c>
      <c r="R440">
        <f t="shared" si="111"/>
        <v>0.6</v>
      </c>
      <c r="S440" s="4">
        <v>1700</v>
      </c>
      <c r="T440" s="4">
        <v>1</v>
      </c>
      <c r="U440" s="33">
        <f t="shared" si="109"/>
        <v>1700</v>
      </c>
      <c r="V440" s="4">
        <v>2000</v>
      </c>
      <c r="AF440" s="4">
        <f t="shared" si="116"/>
        <v>0</v>
      </c>
      <c r="AL440" s="4">
        <f t="shared" si="110"/>
        <v>0</v>
      </c>
      <c r="AZ440" s="4">
        <v>90000</v>
      </c>
      <c r="BA440" s="4">
        <v>251.4</v>
      </c>
      <c r="BB440" s="4">
        <v>0.22500000000000001</v>
      </c>
      <c r="BC440" s="4" t="s">
        <v>2390</v>
      </c>
      <c r="BD440" s="4" t="s">
        <v>2322</v>
      </c>
      <c r="BE440" s="4" t="s">
        <v>91</v>
      </c>
      <c r="BF440" s="4">
        <v>9</v>
      </c>
      <c r="BG440" s="4">
        <v>64</v>
      </c>
      <c r="BI440" s="4">
        <v>0.5</v>
      </c>
      <c r="BK440" s="4">
        <v>0.6</v>
      </c>
      <c r="BL440" s="4" t="s">
        <v>2392</v>
      </c>
      <c r="BM440" s="4" t="s">
        <v>2391</v>
      </c>
    </row>
    <row r="441" spans="4:65">
      <c r="D441" s="17" t="str">
        <f t="shared" si="112"/>
        <v>ErgänzungsfuttermittelKatzeAndere Supplemente</v>
      </c>
      <c r="E441" s="4" t="s">
        <v>91</v>
      </c>
      <c r="F441" s="19" t="s">
        <v>90</v>
      </c>
      <c r="G441" s="4" t="s">
        <v>93</v>
      </c>
      <c r="L441" s="4" t="s">
        <v>2395</v>
      </c>
      <c r="M441">
        <f t="shared" si="113"/>
        <v>1.5</v>
      </c>
      <c r="N441">
        <f t="shared" si="114"/>
        <v>28.3</v>
      </c>
      <c r="P441">
        <f t="shared" si="115"/>
        <v>55.9</v>
      </c>
      <c r="R441">
        <f t="shared" si="111"/>
        <v>0.5</v>
      </c>
      <c r="U441" s="33" t="str">
        <f t="shared" si="109"/>
        <v/>
      </c>
      <c r="AF441" s="4">
        <f t="shared" si="116"/>
        <v>0</v>
      </c>
      <c r="AL441" s="4">
        <f t="shared" si="110"/>
        <v>0</v>
      </c>
      <c r="BC441" s="4" t="s">
        <v>2396</v>
      </c>
      <c r="BD441" s="4" t="s">
        <v>2397</v>
      </c>
      <c r="BE441" s="4" t="s">
        <v>91</v>
      </c>
      <c r="BF441" s="4">
        <v>1.5</v>
      </c>
      <c r="BG441" s="4">
        <v>28.3</v>
      </c>
      <c r="BI441" s="4">
        <v>55.9</v>
      </c>
      <c r="BK441" s="4">
        <v>0.5</v>
      </c>
      <c r="BL441" s="4" t="s">
        <v>2398</v>
      </c>
      <c r="BM441" s="4" t="s">
        <v>2399</v>
      </c>
    </row>
    <row r="442" spans="4:65">
      <c r="D442" s="17" t="str">
        <f t="shared" si="112"/>
        <v>ErgänzungsfuttermittelKatzeAndere Supplemente</v>
      </c>
      <c r="E442" s="4" t="s">
        <v>91</v>
      </c>
      <c r="F442" s="19" t="s">
        <v>90</v>
      </c>
      <c r="G442" s="4" t="s">
        <v>93</v>
      </c>
      <c r="L442" s="4" t="s">
        <v>2429</v>
      </c>
      <c r="M442">
        <f t="shared" si="113"/>
        <v>19.7</v>
      </c>
      <c r="N442">
        <f t="shared" si="114"/>
        <v>0.8</v>
      </c>
      <c r="P442">
        <f t="shared" si="115"/>
        <v>2.2000000000000002</v>
      </c>
      <c r="R442">
        <f t="shared" si="111"/>
        <v>0.3</v>
      </c>
      <c r="U442" s="33" t="str">
        <f t="shared" si="109"/>
        <v/>
      </c>
      <c r="AF442" s="4">
        <f t="shared" si="116"/>
        <v>0</v>
      </c>
      <c r="AL442" s="4">
        <f t="shared" si="110"/>
        <v>0</v>
      </c>
      <c r="BC442" s="4" t="s">
        <v>2429</v>
      </c>
      <c r="BD442" s="4" t="s">
        <v>2397</v>
      </c>
      <c r="BE442" s="4" t="s">
        <v>91</v>
      </c>
      <c r="BF442" s="4">
        <v>19.7</v>
      </c>
      <c r="BG442" s="4">
        <v>0.8</v>
      </c>
      <c r="BI442" s="4">
        <v>2.2000000000000002</v>
      </c>
      <c r="BK442" s="4">
        <v>0.3</v>
      </c>
      <c r="BL442" s="4" t="s">
        <v>2430</v>
      </c>
      <c r="BM442" s="4" t="s">
        <v>2431</v>
      </c>
    </row>
    <row r="443" spans="4:65">
      <c r="D443" s="17" t="str">
        <f t="shared" si="112"/>
        <v>ErgänzungsfuttermittelKatzeAndere Supplemente</v>
      </c>
      <c r="E443" s="4" t="s">
        <v>91</v>
      </c>
      <c r="F443" s="19" t="s">
        <v>90</v>
      </c>
      <c r="G443" s="4" t="s">
        <v>93</v>
      </c>
      <c r="L443" s="4" t="s">
        <v>2454</v>
      </c>
      <c r="M443">
        <f t="shared" si="113"/>
        <v>0.6</v>
      </c>
      <c r="N443">
        <f t="shared" si="114"/>
        <v>4.9000000000000004</v>
      </c>
      <c r="P443">
        <f t="shared" si="115"/>
        <v>0.5</v>
      </c>
      <c r="R443">
        <f t="shared" si="111"/>
        <v>0</v>
      </c>
      <c r="U443" s="33" t="str">
        <f t="shared" si="109"/>
        <v/>
      </c>
      <c r="W443" s="4">
        <v>100</v>
      </c>
      <c r="AF443" s="4">
        <f t="shared" si="116"/>
        <v>0</v>
      </c>
      <c r="AL443" s="4">
        <f t="shared" si="110"/>
        <v>0</v>
      </c>
      <c r="BA443" s="4">
        <v>182.7</v>
      </c>
      <c r="BB443" s="4">
        <v>1.5</v>
      </c>
      <c r="BC443" s="4" t="s">
        <v>2454</v>
      </c>
      <c r="BD443" s="4" t="s">
        <v>2397</v>
      </c>
      <c r="BE443" s="4" t="s">
        <v>91</v>
      </c>
      <c r="BF443" s="4">
        <v>0.6</v>
      </c>
      <c r="BG443" s="4">
        <v>4.9000000000000004</v>
      </c>
      <c r="BI443" s="4">
        <v>0.5</v>
      </c>
      <c r="BK443" s="4">
        <v>0</v>
      </c>
      <c r="BL443" s="4" t="s">
        <v>2456</v>
      </c>
      <c r="BM443" s="4" t="s">
        <v>2455</v>
      </c>
    </row>
    <row r="444" spans="4:65">
      <c r="D444" s="17" t="str">
        <f t="shared" si="112"/>
        <v>ErgänzungsfuttermittelKatzeAndere Supplemente</v>
      </c>
      <c r="E444" s="4" t="s">
        <v>91</v>
      </c>
      <c r="F444" s="19" t="s">
        <v>90</v>
      </c>
      <c r="G444" s="4" t="s">
        <v>93</v>
      </c>
      <c r="L444" s="4" t="s">
        <v>2457</v>
      </c>
      <c r="M444">
        <f t="shared" si="113"/>
        <v>4</v>
      </c>
      <c r="N444">
        <f t="shared" si="114"/>
        <v>1.5</v>
      </c>
      <c r="P444">
        <f t="shared" si="115"/>
        <v>2.7</v>
      </c>
      <c r="R444">
        <f t="shared" si="111"/>
        <v>7.1</v>
      </c>
      <c r="U444" s="33" t="str">
        <f t="shared" si="109"/>
        <v/>
      </c>
      <c r="AF444" s="4">
        <f t="shared" si="116"/>
        <v>0</v>
      </c>
      <c r="AL444" s="4">
        <f t="shared" si="110"/>
        <v>0</v>
      </c>
      <c r="BC444" s="4" t="s">
        <v>2457</v>
      </c>
      <c r="BD444" s="4" t="s">
        <v>2397</v>
      </c>
      <c r="BE444" s="4" t="s">
        <v>91</v>
      </c>
      <c r="BF444" s="4">
        <v>4</v>
      </c>
      <c r="BG444" s="4">
        <v>1.5</v>
      </c>
      <c r="BI444" s="4">
        <v>2.7</v>
      </c>
      <c r="BK444" s="4">
        <v>7.1</v>
      </c>
      <c r="BL444" s="4" t="s">
        <v>2458</v>
      </c>
      <c r="BM444" s="4" t="s">
        <v>2459</v>
      </c>
    </row>
    <row r="445" spans="4:65">
      <c r="D445" s="17" t="str">
        <f t="shared" si="112"/>
        <v>ErgänzungsfuttermittelKatzeAndere Supplemente</v>
      </c>
      <c r="E445" s="4" t="s">
        <v>91</v>
      </c>
      <c r="F445" s="19" t="s">
        <v>90</v>
      </c>
      <c r="G445" s="4" t="s">
        <v>93</v>
      </c>
      <c r="L445" s="4" t="s">
        <v>2460</v>
      </c>
      <c r="M445">
        <f t="shared" si="113"/>
        <v>1.8</v>
      </c>
      <c r="N445">
        <f t="shared" si="114"/>
        <v>0.8</v>
      </c>
      <c r="P445">
        <f t="shared" si="115"/>
        <v>0</v>
      </c>
      <c r="R445">
        <f t="shared" si="111"/>
        <v>0</v>
      </c>
      <c r="U445" s="33" t="str">
        <f t="shared" si="109"/>
        <v/>
      </c>
      <c r="V445" s="4">
        <v>100</v>
      </c>
      <c r="AF445" s="4">
        <f t="shared" si="116"/>
        <v>0</v>
      </c>
      <c r="AL445" s="4">
        <f t="shared" si="110"/>
        <v>0</v>
      </c>
      <c r="BA445" s="4">
        <v>85.16</v>
      </c>
      <c r="BC445" s="4" t="s">
        <v>2460</v>
      </c>
      <c r="BD445" s="4" t="s">
        <v>2397</v>
      </c>
      <c r="BE445" s="4" t="s">
        <v>91</v>
      </c>
      <c r="BF445" s="4">
        <v>1.8</v>
      </c>
      <c r="BG445" s="4">
        <v>0.8</v>
      </c>
      <c r="BL445" s="4" t="s">
        <v>2462</v>
      </c>
      <c r="BM445" s="4" t="s">
        <v>2461</v>
      </c>
    </row>
    <row r="446" spans="4:65">
      <c r="D446" s="17" t="str">
        <f t="shared" si="112"/>
        <v>ErgänzungsfuttermittelKatzeAndere Supplemente</v>
      </c>
      <c r="E446" s="4" t="s">
        <v>91</v>
      </c>
      <c r="F446" s="19" t="s">
        <v>90</v>
      </c>
      <c r="G446" s="4" t="s">
        <v>93</v>
      </c>
      <c r="L446" s="4" t="s">
        <v>2466</v>
      </c>
      <c r="M446">
        <f t="shared" si="113"/>
        <v>10.199999999999999</v>
      </c>
      <c r="N446">
        <f t="shared" si="114"/>
        <v>18.3</v>
      </c>
      <c r="P446">
        <f t="shared" si="115"/>
        <v>2.7</v>
      </c>
      <c r="R446">
        <f t="shared" si="111"/>
        <v>14.4</v>
      </c>
      <c r="U446" s="33" t="str">
        <f t="shared" si="109"/>
        <v/>
      </c>
      <c r="AF446" s="4">
        <f t="shared" si="116"/>
        <v>0</v>
      </c>
      <c r="AL446" s="4">
        <f t="shared" si="110"/>
        <v>0</v>
      </c>
      <c r="BA446" s="4">
        <v>1600</v>
      </c>
      <c r="BB446" s="4">
        <v>0.6</v>
      </c>
      <c r="BC446" s="4" t="s">
        <v>2466</v>
      </c>
      <c r="BD446" s="4" t="s">
        <v>2466</v>
      </c>
      <c r="BE446" s="4" t="s">
        <v>91</v>
      </c>
      <c r="BF446" s="4">
        <v>10.199999999999999</v>
      </c>
      <c r="BG446" s="4">
        <v>18.3</v>
      </c>
      <c r="BI446" s="4">
        <v>2.7</v>
      </c>
      <c r="BK446" s="4">
        <v>14.4</v>
      </c>
      <c r="BL446" s="4" t="s">
        <v>2469</v>
      </c>
      <c r="BM446" s="4" t="s">
        <v>2468</v>
      </c>
    </row>
    <row r="447" spans="4:65">
      <c r="D447" s="17" t="str">
        <f t="shared" si="112"/>
        <v>ErgänzungsfuttermittelKatzeAndere Supplemente</v>
      </c>
      <c r="E447" s="4" t="s">
        <v>91</v>
      </c>
      <c r="F447" s="19" t="s">
        <v>90</v>
      </c>
      <c r="G447" s="4" t="s">
        <v>93</v>
      </c>
      <c r="L447" s="4" t="s">
        <v>1626</v>
      </c>
      <c r="M447">
        <f t="shared" si="113"/>
        <v>1.1000000000000001</v>
      </c>
      <c r="N447">
        <f t="shared" si="114"/>
        <v>74.900000000000006</v>
      </c>
      <c r="P447">
        <f t="shared" si="115"/>
        <v>0.1</v>
      </c>
      <c r="R447">
        <f t="shared" si="111"/>
        <v>0.1</v>
      </c>
      <c r="U447" s="33" t="str">
        <f t="shared" si="109"/>
        <v/>
      </c>
      <c r="V447" s="4">
        <v>200</v>
      </c>
      <c r="AF447" s="4">
        <f t="shared" si="116"/>
        <v>0</v>
      </c>
      <c r="AL447" s="4">
        <f t="shared" si="110"/>
        <v>0</v>
      </c>
      <c r="BA447" s="4">
        <v>297.654</v>
      </c>
      <c r="BB447" s="4">
        <v>0.67</v>
      </c>
      <c r="BC447" s="4" t="s">
        <v>2500</v>
      </c>
      <c r="BD447" s="4" t="s">
        <v>2501</v>
      </c>
      <c r="BE447" s="4" t="s">
        <v>91</v>
      </c>
      <c r="BF447" s="4">
        <v>1.1000000000000001</v>
      </c>
      <c r="BG447" s="4">
        <v>74.900000000000006</v>
      </c>
      <c r="BI447" s="4">
        <v>0.1</v>
      </c>
      <c r="BK447" s="4">
        <v>0.1</v>
      </c>
      <c r="BL447" s="4" t="s">
        <v>2503</v>
      </c>
      <c r="BM447" s="4" t="s">
        <v>2502</v>
      </c>
    </row>
    <row r="448" spans="4:65">
      <c r="D448" s="17" t="str">
        <f t="shared" si="112"/>
        <v>ErgänzungsfuttermittelKatzeAndere Supplemente</v>
      </c>
      <c r="E448" s="4" t="s">
        <v>91</v>
      </c>
      <c r="F448" s="19" t="s">
        <v>90</v>
      </c>
      <c r="G448" s="4" t="s">
        <v>93</v>
      </c>
      <c r="L448" s="4" t="s">
        <v>2504</v>
      </c>
      <c r="M448">
        <f t="shared" si="113"/>
        <v>7.3</v>
      </c>
      <c r="N448">
        <f t="shared" si="114"/>
        <v>4.2</v>
      </c>
      <c r="P448">
        <f t="shared" si="115"/>
        <v>0.3</v>
      </c>
      <c r="R448">
        <f t="shared" si="111"/>
        <v>19.5</v>
      </c>
      <c r="U448" s="33" t="str">
        <f t="shared" si="109"/>
        <v/>
      </c>
      <c r="AF448" s="4">
        <f t="shared" si="116"/>
        <v>0</v>
      </c>
      <c r="AL448" s="4">
        <f t="shared" si="110"/>
        <v>0</v>
      </c>
      <c r="BA448" s="4">
        <v>1153.3</v>
      </c>
      <c r="BB448" s="4">
        <v>0.5</v>
      </c>
      <c r="BC448" s="4" t="s">
        <v>2504</v>
      </c>
      <c r="BD448" s="4" t="s">
        <v>2501</v>
      </c>
      <c r="BE448" s="4" t="s">
        <v>91</v>
      </c>
      <c r="BF448" s="4">
        <v>7.3</v>
      </c>
      <c r="BG448" s="4">
        <v>4.2</v>
      </c>
      <c r="BI448" s="4">
        <v>0.3</v>
      </c>
      <c r="BK448" s="4">
        <v>19.5</v>
      </c>
      <c r="BL448" s="4" t="s">
        <v>2506</v>
      </c>
      <c r="BM448" s="4" t="s">
        <v>2505</v>
      </c>
    </row>
    <row r="449" spans="4:65">
      <c r="D449" s="17" t="str">
        <f t="shared" si="112"/>
        <v>ErgänzungsfuttermittelKatzeAndere Supplemente</v>
      </c>
      <c r="E449" s="4" t="s">
        <v>91</v>
      </c>
      <c r="F449" s="19" t="s">
        <v>90</v>
      </c>
      <c r="G449" s="4" t="s">
        <v>93</v>
      </c>
      <c r="L449" s="4" t="s">
        <v>2507</v>
      </c>
      <c r="M449">
        <f t="shared" si="113"/>
        <v>5.8</v>
      </c>
      <c r="N449">
        <f t="shared" si="114"/>
        <v>7.4</v>
      </c>
      <c r="P449">
        <f t="shared" si="115"/>
        <v>2.4</v>
      </c>
      <c r="R449">
        <f t="shared" si="111"/>
        <v>14.8</v>
      </c>
      <c r="U449" s="33" t="str">
        <f t="shared" si="109"/>
        <v/>
      </c>
      <c r="AF449" s="4">
        <f t="shared" si="116"/>
        <v>0</v>
      </c>
      <c r="AL449" s="4">
        <f t="shared" si="110"/>
        <v>0</v>
      </c>
      <c r="BA449" s="4">
        <v>1153.3</v>
      </c>
      <c r="BB449" s="4">
        <v>0.5</v>
      </c>
      <c r="BC449" s="4" t="s">
        <v>2507</v>
      </c>
      <c r="BD449" s="4" t="s">
        <v>2501</v>
      </c>
      <c r="BE449" s="4" t="s">
        <v>91</v>
      </c>
      <c r="BF449" s="4">
        <v>5.8</v>
      </c>
      <c r="BG449" s="4">
        <v>7.4</v>
      </c>
      <c r="BI449" s="4">
        <v>2.4</v>
      </c>
      <c r="BK449" s="4">
        <v>14.8</v>
      </c>
      <c r="BL449" s="4" t="s">
        <v>2509</v>
      </c>
      <c r="BM449" s="4" t="s">
        <v>2508</v>
      </c>
    </row>
    <row r="450" spans="4:65">
      <c r="D450" s="17" t="str">
        <f t="shared" si="112"/>
        <v>ErgänzungsfuttermittelKatzeAndere Supplemente</v>
      </c>
      <c r="E450" s="4" t="s">
        <v>91</v>
      </c>
      <c r="F450" s="19" t="s">
        <v>90</v>
      </c>
      <c r="G450" s="4" t="s">
        <v>93</v>
      </c>
      <c r="L450" s="4" t="s">
        <v>2510</v>
      </c>
      <c r="M450">
        <f t="shared" si="113"/>
        <v>18.3</v>
      </c>
      <c r="N450">
        <f t="shared" si="114"/>
        <v>22.1</v>
      </c>
      <c r="P450">
        <f t="shared" si="115"/>
        <v>0.3</v>
      </c>
      <c r="R450">
        <f t="shared" si="111"/>
        <v>11.8</v>
      </c>
      <c r="U450" s="33" t="str">
        <f t="shared" si="109"/>
        <v/>
      </c>
      <c r="AF450" s="4">
        <f t="shared" si="116"/>
        <v>0</v>
      </c>
      <c r="AL450" s="4">
        <f t="shared" si="110"/>
        <v>0</v>
      </c>
      <c r="BA450" s="4">
        <v>466.11</v>
      </c>
      <c r="BC450" s="4" t="s">
        <v>2510</v>
      </c>
      <c r="BD450" s="4" t="s">
        <v>2501</v>
      </c>
      <c r="BE450" s="4" t="s">
        <v>91</v>
      </c>
      <c r="BF450" s="4">
        <v>18.3</v>
      </c>
      <c r="BG450" s="4">
        <v>22.1</v>
      </c>
      <c r="BI450" s="4">
        <v>0.3</v>
      </c>
      <c r="BK450" s="4">
        <v>11.8</v>
      </c>
      <c r="BL450" s="4" t="s">
        <v>2512</v>
      </c>
      <c r="BM450" s="4" t="s">
        <v>2511</v>
      </c>
    </row>
    <row r="451" spans="4:65">
      <c r="D451" s="17" t="str">
        <f t="shared" si="112"/>
        <v>ErgänzungsfuttermittelKatzeAndere Supplemente</v>
      </c>
      <c r="E451" s="4" t="s">
        <v>91</v>
      </c>
      <c r="F451" s="19" t="s">
        <v>90</v>
      </c>
      <c r="G451" s="4" t="s">
        <v>93</v>
      </c>
      <c r="L451" s="4" t="s">
        <v>2513</v>
      </c>
      <c r="M451">
        <f t="shared" si="113"/>
        <v>0</v>
      </c>
      <c r="N451">
        <f t="shared" si="114"/>
        <v>0</v>
      </c>
      <c r="P451">
        <f t="shared" si="115"/>
        <v>0</v>
      </c>
      <c r="R451">
        <f t="shared" si="111"/>
        <v>0</v>
      </c>
      <c r="U451" s="33" t="str">
        <f t="shared" si="109"/>
        <v/>
      </c>
      <c r="AF451" s="4">
        <f t="shared" si="116"/>
        <v>0</v>
      </c>
      <c r="AL451" s="4">
        <f t="shared" si="110"/>
        <v>0</v>
      </c>
      <c r="BA451" s="4">
        <v>219.5</v>
      </c>
      <c r="BC451" s="4" t="s">
        <v>2514</v>
      </c>
      <c r="BD451" s="4" t="s">
        <v>2501</v>
      </c>
      <c r="BE451" s="4" t="s">
        <v>91</v>
      </c>
      <c r="BL451" s="4" t="s">
        <v>2516</v>
      </c>
      <c r="BM451" s="4" t="s">
        <v>2515</v>
      </c>
    </row>
    <row r="452" spans="4:65">
      <c r="D452" s="17" t="str">
        <f t="shared" si="112"/>
        <v>ErgänzungsfuttermittelKatzeAndere Supplemente</v>
      </c>
      <c r="E452" s="4" t="s">
        <v>91</v>
      </c>
      <c r="F452" s="19" t="s">
        <v>90</v>
      </c>
      <c r="G452" s="4" t="s">
        <v>93</v>
      </c>
      <c r="L452" s="4" t="s">
        <v>2517</v>
      </c>
      <c r="M452">
        <f t="shared" si="113"/>
        <v>5</v>
      </c>
      <c r="N452">
        <f t="shared" si="114"/>
        <v>5.2</v>
      </c>
      <c r="P452">
        <f t="shared" si="115"/>
        <v>1.2</v>
      </c>
      <c r="R452">
        <f t="shared" si="111"/>
        <v>19.100000000000001</v>
      </c>
      <c r="U452" s="33" t="str">
        <f t="shared" si="109"/>
        <v/>
      </c>
      <c r="AF452" s="4">
        <f t="shared" si="116"/>
        <v>0</v>
      </c>
      <c r="AL452" s="4">
        <f t="shared" si="110"/>
        <v>0</v>
      </c>
      <c r="BA452" s="4">
        <v>1153.3</v>
      </c>
      <c r="BB452" s="4">
        <v>0.5</v>
      </c>
      <c r="BC452" s="4" t="s">
        <v>2517</v>
      </c>
      <c r="BD452" s="4" t="s">
        <v>2501</v>
      </c>
      <c r="BE452" s="4" t="s">
        <v>91</v>
      </c>
      <c r="BF452" s="4">
        <v>5</v>
      </c>
      <c r="BG452" s="4">
        <v>5.2</v>
      </c>
      <c r="BI452" s="4">
        <v>1.2</v>
      </c>
      <c r="BK452" s="4">
        <v>19.100000000000001</v>
      </c>
      <c r="BL452" s="4" t="s">
        <v>2519</v>
      </c>
      <c r="BM452" s="4" t="s">
        <v>2518</v>
      </c>
    </row>
    <row r="453" spans="4:65">
      <c r="D453" s="17" t="str">
        <f t="shared" si="112"/>
        <v>ErgänzungsfuttermittelKatzeAndere Supplemente</v>
      </c>
      <c r="E453" s="4" t="s">
        <v>91</v>
      </c>
      <c r="F453" s="19" t="s">
        <v>90</v>
      </c>
      <c r="G453" s="4" t="s">
        <v>93</v>
      </c>
      <c r="L453" s="4" t="s">
        <v>2520</v>
      </c>
      <c r="M453">
        <f t="shared" si="113"/>
        <v>9.8000000000000007</v>
      </c>
      <c r="N453">
        <f t="shared" si="114"/>
        <v>4.2</v>
      </c>
      <c r="P453">
        <f t="shared" si="115"/>
        <v>0.6</v>
      </c>
      <c r="R453">
        <f t="shared" si="111"/>
        <v>14.4</v>
      </c>
      <c r="U453" s="33" t="str">
        <f t="shared" ref="U453:U516" si="117">IF(S453="","",S453/T453)</f>
        <v/>
      </c>
      <c r="AF453" s="4">
        <f t="shared" si="116"/>
        <v>0</v>
      </c>
      <c r="AL453" s="4">
        <f t="shared" si="110"/>
        <v>0</v>
      </c>
      <c r="BA453" s="4">
        <v>466.11</v>
      </c>
      <c r="BB453" s="4">
        <v>0.5</v>
      </c>
      <c r="BC453" s="4" t="s">
        <v>2520</v>
      </c>
      <c r="BD453" s="4" t="s">
        <v>2501</v>
      </c>
      <c r="BE453" s="4" t="s">
        <v>91</v>
      </c>
      <c r="BF453" s="4">
        <v>9.8000000000000007</v>
      </c>
      <c r="BG453" s="4">
        <v>4.2</v>
      </c>
      <c r="BI453" s="4">
        <v>0.6</v>
      </c>
      <c r="BK453" s="4">
        <v>14.4</v>
      </c>
      <c r="BL453" s="4" t="s">
        <v>2522</v>
      </c>
      <c r="BM453" s="4" t="s">
        <v>2521</v>
      </c>
    </row>
    <row r="454" spans="4:65">
      <c r="D454" s="17" t="str">
        <f t="shared" si="112"/>
        <v>ErgänzungsfuttermittelKatzeAndere Supplemente</v>
      </c>
      <c r="E454" s="4" t="s">
        <v>91</v>
      </c>
      <c r="F454" s="19" t="s">
        <v>90</v>
      </c>
      <c r="G454" s="4" t="s">
        <v>93</v>
      </c>
      <c r="L454" s="4" t="s">
        <v>2523</v>
      </c>
      <c r="M454">
        <f t="shared" si="113"/>
        <v>3.7</v>
      </c>
      <c r="N454">
        <f t="shared" si="114"/>
        <v>4.7</v>
      </c>
      <c r="P454">
        <f t="shared" si="115"/>
        <v>0.9</v>
      </c>
      <c r="R454">
        <f t="shared" si="111"/>
        <v>20.3</v>
      </c>
      <c r="U454" s="33" t="str">
        <f t="shared" si="117"/>
        <v/>
      </c>
      <c r="AF454" s="4">
        <f t="shared" si="116"/>
        <v>0</v>
      </c>
      <c r="AL454" s="4">
        <f t="shared" si="110"/>
        <v>0</v>
      </c>
      <c r="BA454" s="4">
        <v>1153.3</v>
      </c>
      <c r="BB454" s="4">
        <v>0.5</v>
      </c>
      <c r="BC454" s="4" t="s">
        <v>2523</v>
      </c>
      <c r="BD454" s="4" t="s">
        <v>2501</v>
      </c>
      <c r="BE454" s="4" t="s">
        <v>91</v>
      </c>
      <c r="BF454" s="4">
        <v>3.7</v>
      </c>
      <c r="BG454" s="4">
        <v>4.7</v>
      </c>
      <c r="BI454" s="4">
        <v>0.9</v>
      </c>
      <c r="BK454" s="4">
        <v>20.3</v>
      </c>
      <c r="BL454" s="4" t="s">
        <v>2525</v>
      </c>
      <c r="BM454" s="4" t="s">
        <v>2524</v>
      </c>
    </row>
    <row r="455" spans="4:65">
      <c r="D455" s="17" t="str">
        <f t="shared" si="112"/>
        <v>ErgänzungsfuttermittelKatzeAndere Supplemente</v>
      </c>
      <c r="E455" s="4" t="s">
        <v>91</v>
      </c>
      <c r="F455" s="19" t="s">
        <v>90</v>
      </c>
      <c r="G455" s="4" t="s">
        <v>93</v>
      </c>
      <c r="L455" s="4" t="s">
        <v>2526</v>
      </c>
      <c r="M455">
        <f t="shared" si="113"/>
        <v>4.9000000000000004</v>
      </c>
      <c r="N455">
        <f t="shared" si="114"/>
        <v>5.3</v>
      </c>
      <c r="P455">
        <f t="shared" si="115"/>
        <v>1.1000000000000001</v>
      </c>
      <c r="R455">
        <f t="shared" si="111"/>
        <v>14.9</v>
      </c>
      <c r="U455" s="33" t="str">
        <f t="shared" si="117"/>
        <v/>
      </c>
      <c r="AF455" s="4">
        <f t="shared" si="116"/>
        <v>0</v>
      </c>
      <c r="AL455" s="4">
        <f t="shared" si="110"/>
        <v>0</v>
      </c>
      <c r="BA455" s="4">
        <v>466.11</v>
      </c>
      <c r="BB455" s="4">
        <v>0.5</v>
      </c>
      <c r="BC455" s="4" t="s">
        <v>2526</v>
      </c>
      <c r="BD455" s="4" t="s">
        <v>2501</v>
      </c>
      <c r="BE455" s="4" t="s">
        <v>91</v>
      </c>
      <c r="BF455" s="4">
        <v>4.9000000000000004</v>
      </c>
      <c r="BG455" s="4">
        <v>5.3</v>
      </c>
      <c r="BI455" s="4">
        <v>1.1000000000000001</v>
      </c>
      <c r="BK455" s="4">
        <v>14.9</v>
      </c>
      <c r="BL455" s="4" t="s">
        <v>2527</v>
      </c>
      <c r="BM455" s="4" t="s">
        <v>2528</v>
      </c>
    </row>
    <row r="456" spans="4:65">
      <c r="D456" s="17" t="str">
        <f t="shared" si="112"/>
        <v>ErgänzungsfuttermittelKatzeAndere Supplemente</v>
      </c>
      <c r="E456" s="4" t="s">
        <v>91</v>
      </c>
      <c r="F456" s="19" t="s">
        <v>90</v>
      </c>
      <c r="G456" s="4" t="s">
        <v>93</v>
      </c>
      <c r="L456" s="4" t="s">
        <v>2529</v>
      </c>
      <c r="M456">
        <f t="shared" si="113"/>
        <v>4.4000000000000004</v>
      </c>
      <c r="N456">
        <f t="shared" si="114"/>
        <v>5.6</v>
      </c>
      <c r="P456">
        <f t="shared" si="115"/>
        <v>1.1000000000000001</v>
      </c>
      <c r="R456">
        <f t="shared" si="111"/>
        <v>19.3</v>
      </c>
      <c r="U456" s="33" t="str">
        <f t="shared" si="117"/>
        <v/>
      </c>
      <c r="AF456" s="4">
        <f t="shared" si="116"/>
        <v>0</v>
      </c>
      <c r="AL456" s="4">
        <f t="shared" si="110"/>
        <v>0</v>
      </c>
      <c r="BA456" s="4">
        <v>1153.3</v>
      </c>
      <c r="BB456" s="4">
        <v>0.5</v>
      </c>
      <c r="BC456" s="4" t="s">
        <v>2529</v>
      </c>
      <c r="BD456" s="4" t="s">
        <v>2501</v>
      </c>
      <c r="BE456" s="4" t="s">
        <v>91</v>
      </c>
      <c r="BF456" s="4">
        <v>4.4000000000000004</v>
      </c>
      <c r="BG456" s="4">
        <v>5.6</v>
      </c>
      <c r="BI456" s="4">
        <v>1.1000000000000001</v>
      </c>
      <c r="BK456" s="4">
        <v>19.3</v>
      </c>
      <c r="BL456" s="4" t="s">
        <v>2531</v>
      </c>
      <c r="BM456" s="4" t="s">
        <v>2530</v>
      </c>
    </row>
    <row r="457" spans="4:65">
      <c r="D457" s="17" t="str">
        <f t="shared" si="112"/>
        <v>ErgänzungsfuttermittelKatzeAndere Supplemente</v>
      </c>
      <c r="E457" s="4" t="s">
        <v>91</v>
      </c>
      <c r="F457" s="19" t="s">
        <v>90</v>
      </c>
      <c r="G457" s="4" t="s">
        <v>93</v>
      </c>
      <c r="L457" s="4" t="s">
        <v>2532</v>
      </c>
      <c r="M457">
        <f t="shared" si="113"/>
        <v>11</v>
      </c>
      <c r="N457">
        <f t="shared" si="114"/>
        <v>3.4</v>
      </c>
      <c r="P457">
        <f t="shared" si="115"/>
        <v>0.2</v>
      </c>
      <c r="R457">
        <f t="shared" si="111"/>
        <v>20</v>
      </c>
      <c r="U457" s="33" t="str">
        <f t="shared" si="117"/>
        <v/>
      </c>
      <c r="AF457" s="4">
        <f t="shared" si="116"/>
        <v>0</v>
      </c>
      <c r="AL457" s="4">
        <f t="shared" si="110"/>
        <v>0</v>
      </c>
      <c r="BA457" s="4">
        <v>1153.3</v>
      </c>
      <c r="BB457" s="4">
        <v>0.5</v>
      </c>
      <c r="BC457" s="4" t="s">
        <v>2532</v>
      </c>
      <c r="BD457" s="4" t="s">
        <v>2501</v>
      </c>
      <c r="BE457" s="4" t="s">
        <v>91</v>
      </c>
      <c r="BF457" s="4">
        <v>11</v>
      </c>
      <c r="BG457" s="4">
        <v>3.4</v>
      </c>
      <c r="BI457" s="4">
        <v>0.2</v>
      </c>
      <c r="BK457" s="4">
        <v>20</v>
      </c>
      <c r="BL457" s="4" t="s">
        <v>2534</v>
      </c>
      <c r="BM457" s="4" t="s">
        <v>2533</v>
      </c>
    </row>
    <row r="458" spans="4:65">
      <c r="D458" s="17" t="str">
        <f t="shared" si="112"/>
        <v>ErgänzungsfuttermittelKatzeAndere Supplemente</v>
      </c>
      <c r="E458" s="4" t="s">
        <v>91</v>
      </c>
      <c r="F458" s="19" t="s">
        <v>90</v>
      </c>
      <c r="G458" s="4" t="s">
        <v>93</v>
      </c>
      <c r="L458" s="4" t="s">
        <v>2535</v>
      </c>
      <c r="M458">
        <f t="shared" si="113"/>
        <v>3.9</v>
      </c>
      <c r="N458">
        <f t="shared" si="114"/>
        <v>5.4</v>
      </c>
      <c r="P458">
        <f t="shared" si="115"/>
        <v>0.3</v>
      </c>
      <c r="R458">
        <f t="shared" si="111"/>
        <v>16</v>
      </c>
      <c r="U458" s="33" t="str">
        <f t="shared" si="117"/>
        <v/>
      </c>
      <c r="AF458" s="4">
        <f t="shared" si="116"/>
        <v>0</v>
      </c>
      <c r="AL458" s="4">
        <f t="shared" ref="AL458:AL521" si="118">AK458*$BO$14</f>
        <v>0</v>
      </c>
      <c r="BA458" s="4">
        <v>1153.3</v>
      </c>
      <c r="BB458" s="4">
        <v>0.5</v>
      </c>
      <c r="BC458" s="4" t="s">
        <v>2535</v>
      </c>
      <c r="BD458" s="4" t="s">
        <v>2501</v>
      </c>
      <c r="BE458" s="4" t="s">
        <v>91</v>
      </c>
      <c r="BF458" s="4">
        <v>3.9</v>
      </c>
      <c r="BG458" s="4">
        <v>5.4</v>
      </c>
      <c r="BI458" s="4">
        <v>0.3</v>
      </c>
      <c r="BK458" s="4">
        <v>16</v>
      </c>
      <c r="BL458" s="4" t="s">
        <v>2537</v>
      </c>
      <c r="BM458" s="4" t="s">
        <v>2536</v>
      </c>
    </row>
    <row r="459" spans="4:65">
      <c r="D459" s="17" t="str">
        <f t="shared" si="112"/>
        <v>ErgänzungsfuttermittelKatzeAndere Supplemente</v>
      </c>
      <c r="E459" s="4" t="s">
        <v>91</v>
      </c>
      <c r="F459" s="19" t="s">
        <v>90</v>
      </c>
      <c r="G459" s="4" t="s">
        <v>93</v>
      </c>
      <c r="L459" s="4" t="s">
        <v>2538</v>
      </c>
      <c r="M459">
        <f t="shared" si="113"/>
        <v>4.0999999999999996</v>
      </c>
      <c r="N459">
        <f t="shared" si="114"/>
        <v>2</v>
      </c>
      <c r="P459">
        <f t="shared" si="115"/>
        <v>0.1</v>
      </c>
      <c r="R459">
        <f t="shared" si="111"/>
        <v>31.9</v>
      </c>
      <c r="U459" s="33" t="str">
        <f t="shared" si="117"/>
        <v/>
      </c>
      <c r="AF459" s="4">
        <f t="shared" si="116"/>
        <v>0</v>
      </c>
      <c r="AL459" s="4">
        <f t="shared" si="118"/>
        <v>0</v>
      </c>
      <c r="BA459" s="4">
        <v>1153.3</v>
      </c>
      <c r="BB459" s="4">
        <v>0.5</v>
      </c>
      <c r="BC459" s="4" t="s">
        <v>2538</v>
      </c>
      <c r="BD459" s="4" t="s">
        <v>2501</v>
      </c>
      <c r="BE459" s="4" t="s">
        <v>91</v>
      </c>
      <c r="BF459" s="4">
        <v>4.0999999999999996</v>
      </c>
      <c r="BG459" s="4">
        <v>2</v>
      </c>
      <c r="BI459" s="4">
        <v>0.1</v>
      </c>
      <c r="BK459" s="4">
        <v>31.9</v>
      </c>
      <c r="BL459" s="4" t="s">
        <v>2539</v>
      </c>
      <c r="BM459" s="4" t="s">
        <v>2540</v>
      </c>
    </row>
    <row r="460" spans="4:65">
      <c r="D460" s="17" t="str">
        <f t="shared" si="112"/>
        <v>ErgänzungsfuttermittelKatzeAndere Supplemente</v>
      </c>
      <c r="E460" s="4" t="s">
        <v>91</v>
      </c>
      <c r="F460" s="19" t="s">
        <v>90</v>
      </c>
      <c r="G460" s="4" t="s">
        <v>93</v>
      </c>
      <c r="L460" s="4" t="s">
        <v>2541</v>
      </c>
      <c r="M460">
        <f t="shared" si="113"/>
        <v>4.0999999999999996</v>
      </c>
      <c r="N460">
        <f t="shared" si="114"/>
        <v>4.0999999999999996</v>
      </c>
      <c r="P460">
        <f t="shared" si="115"/>
        <v>0.6</v>
      </c>
      <c r="R460">
        <f t="shared" si="111"/>
        <v>18.5</v>
      </c>
      <c r="U460" s="33" t="str">
        <f t="shared" si="117"/>
        <v/>
      </c>
      <c r="AF460" s="4">
        <f t="shared" si="116"/>
        <v>0</v>
      </c>
      <c r="AL460" s="4">
        <f t="shared" si="118"/>
        <v>0</v>
      </c>
      <c r="BA460" s="4">
        <v>1153.3</v>
      </c>
      <c r="BB460" s="4">
        <v>0.5</v>
      </c>
      <c r="BC460" s="4" t="s">
        <v>2541</v>
      </c>
      <c r="BD460" s="4" t="s">
        <v>2501</v>
      </c>
      <c r="BE460" s="4" t="s">
        <v>91</v>
      </c>
      <c r="BF460" s="4">
        <v>4.0999999999999996</v>
      </c>
      <c r="BG460" s="4">
        <v>4.0999999999999996</v>
      </c>
      <c r="BI460" s="4">
        <v>0.6</v>
      </c>
      <c r="BK460" s="4">
        <v>18.5</v>
      </c>
      <c r="BL460" s="4" t="s">
        <v>2543</v>
      </c>
      <c r="BM460" s="4" t="s">
        <v>2542</v>
      </c>
    </row>
    <row r="461" spans="4:65">
      <c r="D461" s="17" t="str">
        <f t="shared" si="112"/>
        <v>ErgänzungsfuttermittelKatzeAndere Supplemente</v>
      </c>
      <c r="E461" s="4" t="s">
        <v>91</v>
      </c>
      <c r="F461" s="19" t="s">
        <v>90</v>
      </c>
      <c r="G461" s="4" t="s">
        <v>93</v>
      </c>
      <c r="L461" s="4" t="s">
        <v>2544</v>
      </c>
      <c r="M461">
        <f t="shared" si="113"/>
        <v>4</v>
      </c>
      <c r="N461">
        <f t="shared" si="114"/>
        <v>4.4000000000000004</v>
      </c>
      <c r="P461">
        <f t="shared" si="115"/>
        <v>0.4</v>
      </c>
      <c r="R461">
        <f t="shared" si="111"/>
        <v>19.3</v>
      </c>
      <c r="U461" s="33" t="str">
        <f t="shared" si="117"/>
        <v/>
      </c>
      <c r="AF461" s="4">
        <f t="shared" si="116"/>
        <v>0</v>
      </c>
      <c r="AL461" s="4">
        <f t="shared" si="118"/>
        <v>0</v>
      </c>
      <c r="BA461" s="4">
        <v>1153.3</v>
      </c>
      <c r="BB461" s="4">
        <v>0.5</v>
      </c>
      <c r="BC461" s="4" t="s">
        <v>2544</v>
      </c>
      <c r="BD461" s="4" t="s">
        <v>2501</v>
      </c>
      <c r="BE461" s="4" t="s">
        <v>91</v>
      </c>
      <c r="BF461" s="4">
        <v>4</v>
      </c>
      <c r="BG461" s="4">
        <v>4.4000000000000004</v>
      </c>
      <c r="BI461" s="4">
        <v>0.4</v>
      </c>
      <c r="BK461" s="4">
        <v>19.3</v>
      </c>
      <c r="BL461" s="4" t="s">
        <v>2546</v>
      </c>
      <c r="BM461" s="4" t="s">
        <v>2545</v>
      </c>
    </row>
    <row r="462" spans="4:65">
      <c r="D462" s="17" t="str">
        <f t="shared" si="112"/>
        <v>ErgänzungsfuttermittelKatzeAndere Supplemente</v>
      </c>
      <c r="E462" s="4" t="s">
        <v>91</v>
      </c>
      <c r="F462" s="19" t="s">
        <v>90</v>
      </c>
      <c r="G462" s="4" t="s">
        <v>93</v>
      </c>
      <c r="L462" s="4" t="s">
        <v>2547</v>
      </c>
      <c r="M462">
        <f t="shared" si="113"/>
        <v>4.9000000000000004</v>
      </c>
      <c r="N462">
        <f t="shared" si="114"/>
        <v>4.9000000000000004</v>
      </c>
      <c r="P462">
        <f t="shared" si="115"/>
        <v>2.5</v>
      </c>
      <c r="R462">
        <f t="shared" si="111"/>
        <v>20.399999999999999</v>
      </c>
      <c r="U462" s="33" t="str">
        <f t="shared" si="117"/>
        <v/>
      </c>
      <c r="AF462" s="4">
        <f t="shared" si="116"/>
        <v>0</v>
      </c>
      <c r="AL462" s="4">
        <f t="shared" si="118"/>
        <v>0</v>
      </c>
      <c r="BA462" s="4">
        <v>1153.3</v>
      </c>
      <c r="BB462" s="4">
        <v>0.5</v>
      </c>
      <c r="BC462" s="4" t="s">
        <v>2548</v>
      </c>
      <c r="BD462" s="4" t="s">
        <v>2501</v>
      </c>
      <c r="BE462" s="4" t="s">
        <v>91</v>
      </c>
      <c r="BF462" s="4">
        <v>4.9000000000000004</v>
      </c>
      <c r="BG462" s="4">
        <v>4.9000000000000004</v>
      </c>
      <c r="BI462" s="4">
        <v>2.5</v>
      </c>
      <c r="BK462" s="4">
        <v>20.399999999999999</v>
      </c>
      <c r="BL462" s="4" t="s">
        <v>2550</v>
      </c>
      <c r="BM462" s="4" t="s">
        <v>2549</v>
      </c>
    </row>
    <row r="463" spans="4:65">
      <c r="D463" s="17" t="str">
        <f t="shared" si="112"/>
        <v>ErgänzungsfuttermittelKatzeAndere Supplemente</v>
      </c>
      <c r="E463" s="4" t="s">
        <v>91</v>
      </c>
      <c r="F463" s="19" t="s">
        <v>90</v>
      </c>
      <c r="G463" s="4" t="s">
        <v>93</v>
      </c>
      <c r="L463" s="4" t="s">
        <v>2587</v>
      </c>
      <c r="M463">
        <f t="shared" si="113"/>
        <v>0</v>
      </c>
      <c r="N463">
        <f t="shared" si="114"/>
        <v>0</v>
      </c>
      <c r="P463">
        <f t="shared" si="115"/>
        <v>0</v>
      </c>
      <c r="R463">
        <f t="shared" ref="R463:R526" si="119">BK463</f>
        <v>0</v>
      </c>
      <c r="U463" s="33" t="str">
        <f t="shared" si="117"/>
        <v/>
      </c>
      <c r="AF463" s="4">
        <f t="shared" si="116"/>
        <v>0</v>
      </c>
      <c r="AL463" s="4">
        <f t="shared" si="118"/>
        <v>0</v>
      </c>
      <c r="BC463" s="4" t="s">
        <v>2585</v>
      </c>
      <c r="BD463" s="4" t="s">
        <v>1767</v>
      </c>
      <c r="BE463" s="4" t="s">
        <v>91</v>
      </c>
      <c r="BL463" s="4" t="s">
        <v>2588</v>
      </c>
      <c r="BM463" s="4" t="s">
        <v>2586</v>
      </c>
    </row>
    <row r="464" spans="4:65">
      <c r="D464" s="17" t="str">
        <f t="shared" si="112"/>
        <v>ErgänzungsfuttermittelKatzeAndere Supplemente</v>
      </c>
      <c r="E464" s="4" t="s">
        <v>91</v>
      </c>
      <c r="F464" s="19" t="s">
        <v>90</v>
      </c>
      <c r="G464" s="4" t="s">
        <v>93</v>
      </c>
      <c r="L464" s="4" t="s">
        <v>2592</v>
      </c>
      <c r="M464">
        <f t="shared" si="113"/>
        <v>60</v>
      </c>
      <c r="N464">
        <f t="shared" si="114"/>
        <v>1</v>
      </c>
      <c r="P464">
        <f t="shared" si="115"/>
        <v>0</v>
      </c>
      <c r="R464">
        <f t="shared" si="119"/>
        <v>9</v>
      </c>
      <c r="U464" s="33" t="str">
        <f t="shared" si="117"/>
        <v/>
      </c>
      <c r="AF464" s="4">
        <f t="shared" si="116"/>
        <v>0</v>
      </c>
      <c r="AL464" s="4">
        <f t="shared" si="118"/>
        <v>0</v>
      </c>
      <c r="BB464" s="4">
        <v>0.52</v>
      </c>
      <c r="BC464" s="4" t="s">
        <v>2592</v>
      </c>
      <c r="BD464" s="4" t="s">
        <v>2451</v>
      </c>
      <c r="BE464" s="4" t="s">
        <v>91</v>
      </c>
      <c r="BF464" s="4">
        <v>60</v>
      </c>
      <c r="BG464" s="4">
        <v>1</v>
      </c>
      <c r="BI464" s="4">
        <v>0</v>
      </c>
      <c r="BK464" s="4">
        <v>9</v>
      </c>
      <c r="BL464" s="4" t="s">
        <v>2594</v>
      </c>
      <c r="BM464" s="4" t="s">
        <v>2593</v>
      </c>
    </row>
    <row r="465" spans="4:65">
      <c r="D465" s="17" t="str">
        <f t="shared" ref="D465:D528" si="120">E465&amp;""&amp;F465&amp;""&amp;G465&amp;""&amp;H465</f>
        <v>ErgänzungsfuttermittelKatzeAndere Supplemente</v>
      </c>
      <c r="E465" s="4" t="s">
        <v>91</v>
      </c>
      <c r="F465" s="19" t="s">
        <v>90</v>
      </c>
      <c r="G465" s="4" t="s">
        <v>93</v>
      </c>
      <c r="L465" s="4" t="s">
        <v>2598</v>
      </c>
      <c r="M465">
        <f t="shared" ref="M465:M528" si="121">BF465</f>
        <v>2.5</v>
      </c>
      <c r="N465">
        <f t="shared" ref="N465:N528" si="122">BG465</f>
        <v>17.399999999999999</v>
      </c>
      <c r="P465">
        <f t="shared" ref="P465:P528" si="123">BI465</f>
        <v>1.1000000000000001</v>
      </c>
      <c r="R465">
        <f t="shared" si="119"/>
        <v>4.4000000000000004</v>
      </c>
      <c r="U465" s="33" t="str">
        <f t="shared" si="117"/>
        <v/>
      </c>
      <c r="AF465" s="4">
        <f t="shared" si="116"/>
        <v>0</v>
      </c>
      <c r="AL465" s="4">
        <f t="shared" si="118"/>
        <v>0</v>
      </c>
      <c r="BA465" s="4">
        <v>210</v>
      </c>
      <c r="BB465" s="4">
        <v>0.375</v>
      </c>
      <c r="BC465" s="4" t="s">
        <v>2598</v>
      </c>
      <c r="BD465" s="4" t="s">
        <v>2451</v>
      </c>
      <c r="BE465" s="4" t="s">
        <v>91</v>
      </c>
      <c r="BF465" s="4">
        <v>2.5</v>
      </c>
      <c r="BG465" s="4">
        <v>17.399999999999999</v>
      </c>
      <c r="BI465" s="4">
        <v>1.1000000000000001</v>
      </c>
      <c r="BK465" s="4">
        <v>4.4000000000000004</v>
      </c>
      <c r="BL465" s="4" t="s">
        <v>2600</v>
      </c>
      <c r="BM465" s="4" t="s">
        <v>2599</v>
      </c>
    </row>
    <row r="466" spans="4:65">
      <c r="D466" s="17" t="str">
        <f t="shared" si="120"/>
        <v>ErgänzungsfuttermittelKatzeAndere Supplemente</v>
      </c>
      <c r="E466" s="4" t="s">
        <v>91</v>
      </c>
      <c r="F466" s="19" t="s">
        <v>90</v>
      </c>
      <c r="G466" s="4" t="s">
        <v>93</v>
      </c>
      <c r="L466" s="4" t="s">
        <v>2624</v>
      </c>
      <c r="M466">
        <f t="shared" si="121"/>
        <v>10.4</v>
      </c>
      <c r="N466">
        <f t="shared" si="122"/>
        <v>5</v>
      </c>
      <c r="P466">
        <f t="shared" si="123"/>
        <v>1</v>
      </c>
      <c r="R466">
        <f t="shared" si="119"/>
        <v>10.7</v>
      </c>
      <c r="U466" s="33" t="str">
        <f t="shared" si="117"/>
        <v/>
      </c>
      <c r="X466" s="4">
        <v>20</v>
      </c>
      <c r="AF466" s="4">
        <f t="shared" si="116"/>
        <v>0</v>
      </c>
      <c r="AL466" s="4">
        <f t="shared" si="118"/>
        <v>0</v>
      </c>
      <c r="BA466" s="4">
        <v>75.52</v>
      </c>
      <c r="BB466" s="4">
        <v>0.4</v>
      </c>
      <c r="BC466" s="4" t="s">
        <v>2624</v>
      </c>
      <c r="BD466" s="4" t="s">
        <v>2625</v>
      </c>
      <c r="BE466" s="4" t="s">
        <v>91</v>
      </c>
      <c r="BF466" s="4">
        <v>10.4</v>
      </c>
      <c r="BG466" s="4">
        <v>5</v>
      </c>
      <c r="BI466" s="4">
        <v>1</v>
      </c>
      <c r="BK466" s="4">
        <v>10.7</v>
      </c>
      <c r="BL466" s="4" t="s">
        <v>2627</v>
      </c>
      <c r="BM466" s="4" t="s">
        <v>2626</v>
      </c>
    </row>
    <row r="467" spans="4:65">
      <c r="D467" s="17" t="str">
        <f t="shared" si="120"/>
        <v>ErgänzungsfuttermittelKatzeAndere Supplemente</v>
      </c>
      <c r="E467" s="4" t="s">
        <v>91</v>
      </c>
      <c r="F467" s="19" t="s">
        <v>90</v>
      </c>
      <c r="G467" s="4" t="s">
        <v>93</v>
      </c>
      <c r="L467" s="4" t="s">
        <v>2628</v>
      </c>
      <c r="M467">
        <f t="shared" si="121"/>
        <v>0.4</v>
      </c>
      <c r="N467">
        <f t="shared" si="122"/>
        <v>0.4</v>
      </c>
      <c r="P467">
        <f t="shared" si="123"/>
        <v>0.2</v>
      </c>
      <c r="R467">
        <f t="shared" si="119"/>
        <v>0.5</v>
      </c>
      <c r="U467" s="33" t="str">
        <f t="shared" si="117"/>
        <v/>
      </c>
      <c r="AF467" s="4">
        <f t="shared" si="116"/>
        <v>0</v>
      </c>
      <c r="AL467" s="4">
        <f t="shared" si="118"/>
        <v>0</v>
      </c>
      <c r="BA467" s="4">
        <v>210.26</v>
      </c>
      <c r="BB467" s="4">
        <v>2</v>
      </c>
      <c r="BC467" s="4" t="s">
        <v>2628</v>
      </c>
      <c r="BD467" s="4" t="s">
        <v>96</v>
      </c>
      <c r="BE467" s="4" t="s">
        <v>91</v>
      </c>
      <c r="BF467" s="4">
        <v>0.4</v>
      </c>
      <c r="BG467" s="4">
        <v>0.4</v>
      </c>
      <c r="BI467" s="4">
        <v>0.2</v>
      </c>
      <c r="BK467" s="4">
        <v>0.5</v>
      </c>
      <c r="BL467" s="4" t="s">
        <v>2630</v>
      </c>
      <c r="BM467" s="4" t="s">
        <v>2629</v>
      </c>
    </row>
    <row r="468" spans="4:65">
      <c r="D468" s="17" t="str">
        <f t="shared" si="120"/>
        <v>ErgänzungsfuttermittelKatzeAndere Supplemente</v>
      </c>
      <c r="E468" s="4" t="s">
        <v>91</v>
      </c>
      <c r="F468" s="19" t="s">
        <v>90</v>
      </c>
      <c r="G468" s="4" t="s">
        <v>93</v>
      </c>
      <c r="L468" s="4" t="s">
        <v>2637</v>
      </c>
      <c r="M468">
        <f t="shared" si="121"/>
        <v>6.6</v>
      </c>
      <c r="N468">
        <f t="shared" si="122"/>
        <v>23.1</v>
      </c>
      <c r="P468">
        <f t="shared" si="123"/>
        <v>2.2000000000000002</v>
      </c>
      <c r="R468">
        <f t="shared" si="119"/>
        <v>6.2</v>
      </c>
      <c r="U468" s="33" t="str">
        <f t="shared" si="117"/>
        <v/>
      </c>
      <c r="AF468" s="4">
        <f t="shared" si="116"/>
        <v>0</v>
      </c>
      <c r="AL468" s="4">
        <f t="shared" si="118"/>
        <v>0</v>
      </c>
      <c r="BC468" s="4" t="s">
        <v>2637</v>
      </c>
      <c r="BD468" s="4" t="s">
        <v>96</v>
      </c>
      <c r="BE468" s="4" t="s">
        <v>91</v>
      </c>
      <c r="BF468" s="4">
        <v>6.6</v>
      </c>
      <c r="BG468" s="4">
        <v>23.1</v>
      </c>
      <c r="BI468" s="4">
        <v>2.2000000000000002</v>
      </c>
      <c r="BK468" s="4">
        <v>6.2</v>
      </c>
      <c r="BL468" s="4" t="s">
        <v>2639</v>
      </c>
      <c r="BM468" s="4" t="s">
        <v>2638</v>
      </c>
    </row>
    <row r="469" spans="4:65">
      <c r="D469" s="17" t="str">
        <f t="shared" si="120"/>
        <v>ErgänzungsfuttermittelKatzeAndere Supplemente</v>
      </c>
      <c r="E469" s="4" t="s">
        <v>91</v>
      </c>
      <c r="F469" s="19" t="s">
        <v>90</v>
      </c>
      <c r="G469" s="4" t="s">
        <v>93</v>
      </c>
      <c r="L469" s="4" t="s">
        <v>2644</v>
      </c>
      <c r="M469">
        <f t="shared" si="121"/>
        <v>13</v>
      </c>
      <c r="N469">
        <f t="shared" si="122"/>
        <v>25</v>
      </c>
      <c r="P469">
        <f t="shared" si="123"/>
        <v>15.6</v>
      </c>
      <c r="R469">
        <f t="shared" si="119"/>
        <v>1.3</v>
      </c>
      <c r="U469" s="33" t="str">
        <f t="shared" si="117"/>
        <v/>
      </c>
      <c r="AF469" s="4">
        <f t="shared" si="116"/>
        <v>0</v>
      </c>
      <c r="AL469" s="4">
        <f t="shared" si="118"/>
        <v>0</v>
      </c>
      <c r="BA469" s="4">
        <v>118.6</v>
      </c>
      <c r="BC469" s="4" t="s">
        <v>2645</v>
      </c>
      <c r="BD469" s="4" t="s">
        <v>2646</v>
      </c>
      <c r="BE469" s="4" t="s">
        <v>91</v>
      </c>
      <c r="BF469" s="4">
        <v>13</v>
      </c>
      <c r="BG469" s="4">
        <v>25</v>
      </c>
      <c r="BI469" s="4">
        <v>15.6</v>
      </c>
      <c r="BK469" s="4">
        <v>1.3</v>
      </c>
      <c r="BL469" s="4" t="s">
        <v>2648</v>
      </c>
      <c r="BM469" s="4" t="s">
        <v>2647</v>
      </c>
    </row>
    <row r="470" spans="4:65">
      <c r="D470" s="17" t="str">
        <f t="shared" si="120"/>
        <v>ErgänzungsfuttermittelKatzeAndere Supplemente</v>
      </c>
      <c r="E470" s="4" t="s">
        <v>91</v>
      </c>
      <c r="F470" s="19" t="s">
        <v>90</v>
      </c>
      <c r="G470" s="4" t="s">
        <v>93</v>
      </c>
      <c r="L470" s="4" t="s">
        <v>2652</v>
      </c>
      <c r="M470">
        <f t="shared" si="121"/>
        <v>11</v>
      </c>
      <c r="N470">
        <f t="shared" si="122"/>
        <v>40</v>
      </c>
      <c r="P470">
        <f t="shared" si="123"/>
        <v>5</v>
      </c>
      <c r="R470">
        <f t="shared" si="119"/>
        <v>0.5</v>
      </c>
      <c r="U470" s="33" t="str">
        <f t="shared" si="117"/>
        <v/>
      </c>
      <c r="AF470" s="4">
        <f t="shared" si="116"/>
        <v>0</v>
      </c>
      <c r="AL470" s="4">
        <f t="shared" si="118"/>
        <v>0</v>
      </c>
      <c r="BC470" s="4" t="s">
        <v>2652</v>
      </c>
      <c r="BD470" s="4" t="s">
        <v>2653</v>
      </c>
      <c r="BE470" s="4" t="s">
        <v>91</v>
      </c>
      <c r="BF470" s="4">
        <v>11</v>
      </c>
      <c r="BG470" s="4">
        <v>40</v>
      </c>
      <c r="BI470" s="4">
        <v>5</v>
      </c>
      <c r="BK470" s="4">
        <v>0.5</v>
      </c>
      <c r="BL470" s="4" t="s">
        <v>2655</v>
      </c>
      <c r="BM470" s="4" t="s">
        <v>2654</v>
      </c>
    </row>
    <row r="471" spans="4:65">
      <c r="D471" s="17" t="str">
        <f t="shared" si="120"/>
        <v>ErgänzungsfuttermittelKatzeAndere Supplemente</v>
      </c>
      <c r="E471" s="4" t="s">
        <v>91</v>
      </c>
      <c r="F471" s="19" t="s">
        <v>90</v>
      </c>
      <c r="G471" s="4" t="s">
        <v>93</v>
      </c>
      <c r="L471" s="4" t="s">
        <v>2665</v>
      </c>
      <c r="M471">
        <f t="shared" si="121"/>
        <v>0</v>
      </c>
      <c r="N471">
        <f t="shared" si="122"/>
        <v>0</v>
      </c>
      <c r="P471">
        <f t="shared" si="123"/>
        <v>0</v>
      </c>
      <c r="R471">
        <f t="shared" si="119"/>
        <v>0</v>
      </c>
      <c r="U471" s="33" t="str">
        <f t="shared" si="117"/>
        <v/>
      </c>
      <c r="AF471" s="4">
        <f t="shared" si="116"/>
        <v>0</v>
      </c>
      <c r="AL471" s="4">
        <f t="shared" si="118"/>
        <v>0</v>
      </c>
      <c r="BC471" s="4" t="s">
        <v>2665</v>
      </c>
      <c r="BD471" s="4" t="s">
        <v>2666</v>
      </c>
      <c r="BE471" s="4" t="s">
        <v>91</v>
      </c>
      <c r="BL471" s="4" t="s">
        <v>2668</v>
      </c>
      <c r="BM471" s="4" t="s">
        <v>2667</v>
      </c>
    </row>
    <row r="472" spans="4:65">
      <c r="D472" s="17" t="str">
        <f t="shared" si="120"/>
        <v>ErgänzungsfuttermittelKatzeAndere Supplemente</v>
      </c>
      <c r="E472" s="4" t="s">
        <v>91</v>
      </c>
      <c r="F472" s="19" t="s">
        <v>90</v>
      </c>
      <c r="G472" s="4" t="s">
        <v>93</v>
      </c>
      <c r="L472" s="4" t="s">
        <v>2672</v>
      </c>
      <c r="M472">
        <f t="shared" si="121"/>
        <v>22.2</v>
      </c>
      <c r="N472">
        <f t="shared" si="122"/>
        <v>3.9</v>
      </c>
      <c r="P472">
        <f t="shared" si="123"/>
        <v>1.5</v>
      </c>
      <c r="R472">
        <f t="shared" si="119"/>
        <v>38</v>
      </c>
      <c r="U472" s="33" t="str">
        <f t="shared" si="117"/>
        <v/>
      </c>
      <c r="AF472" s="4">
        <f t="shared" ref="AF472:AF535" si="124">AG472*$BO$13</f>
        <v>0</v>
      </c>
      <c r="AL472" s="4">
        <f t="shared" si="118"/>
        <v>0</v>
      </c>
      <c r="BA472" s="4">
        <v>104.47</v>
      </c>
      <c r="BB472" s="4">
        <v>2</v>
      </c>
      <c r="BC472" s="4" t="s">
        <v>2673</v>
      </c>
      <c r="BD472" s="4" t="s">
        <v>2666</v>
      </c>
      <c r="BE472" s="4" t="s">
        <v>91</v>
      </c>
      <c r="BF472" s="4">
        <v>22.2</v>
      </c>
      <c r="BG472" s="4">
        <v>3.9</v>
      </c>
      <c r="BI472" s="4">
        <v>1.5</v>
      </c>
      <c r="BK472" s="4">
        <v>38</v>
      </c>
      <c r="BL472" s="4" t="s">
        <v>2675</v>
      </c>
      <c r="BM472" s="4" t="s">
        <v>2674</v>
      </c>
    </row>
    <row r="473" spans="4:65">
      <c r="D473" s="17" t="str">
        <f t="shared" si="120"/>
        <v>ErgänzungsfuttermittelKatzeAndere Supplemente</v>
      </c>
      <c r="E473" s="4" t="s">
        <v>91</v>
      </c>
      <c r="F473" s="19" t="s">
        <v>90</v>
      </c>
      <c r="G473" s="4" t="s">
        <v>93</v>
      </c>
      <c r="L473" s="4" t="s">
        <v>2679</v>
      </c>
      <c r="M473">
        <f t="shared" si="121"/>
        <v>17</v>
      </c>
      <c r="N473">
        <f t="shared" si="122"/>
        <v>64.5</v>
      </c>
      <c r="P473">
        <f t="shared" si="123"/>
        <v>5.5</v>
      </c>
      <c r="R473">
        <f t="shared" si="119"/>
        <v>0</v>
      </c>
      <c r="U473" s="33" t="str">
        <f t="shared" si="117"/>
        <v/>
      </c>
      <c r="AF473" s="4">
        <f t="shared" si="124"/>
        <v>0</v>
      </c>
      <c r="AL473" s="4">
        <f t="shared" si="118"/>
        <v>0</v>
      </c>
      <c r="BA473" s="4">
        <v>295.87</v>
      </c>
      <c r="BC473" s="4" t="s">
        <v>2676</v>
      </c>
      <c r="BD473" s="4" t="s">
        <v>2666</v>
      </c>
      <c r="BE473" s="4" t="s">
        <v>91</v>
      </c>
      <c r="BF473" s="4">
        <v>17</v>
      </c>
      <c r="BG473" s="4">
        <v>64.5</v>
      </c>
      <c r="BI473" s="4">
        <v>5.5</v>
      </c>
      <c r="BL473" s="4" t="s">
        <v>2678</v>
      </c>
      <c r="BM473" s="4" t="s">
        <v>2677</v>
      </c>
    </row>
    <row r="474" spans="4:65">
      <c r="D474" s="17" t="str">
        <f t="shared" si="120"/>
        <v>ErgänzungsfuttermittelKatzeAndere Supplemente</v>
      </c>
      <c r="E474" s="4" t="s">
        <v>91</v>
      </c>
      <c r="F474" s="19" t="s">
        <v>90</v>
      </c>
      <c r="G474" s="4" t="s">
        <v>93</v>
      </c>
      <c r="L474" s="4" t="s">
        <v>2687</v>
      </c>
      <c r="M474">
        <f t="shared" si="121"/>
        <v>0</v>
      </c>
      <c r="N474">
        <f t="shared" si="122"/>
        <v>0</v>
      </c>
      <c r="P474">
        <f t="shared" si="123"/>
        <v>0</v>
      </c>
      <c r="R474">
        <f t="shared" si="119"/>
        <v>0</v>
      </c>
      <c r="U474" s="33" t="str">
        <f t="shared" si="117"/>
        <v/>
      </c>
      <c r="AF474" s="4">
        <f t="shared" si="124"/>
        <v>0</v>
      </c>
      <c r="AL474" s="4">
        <f t="shared" si="118"/>
        <v>0</v>
      </c>
      <c r="BA474" s="4">
        <v>252.23</v>
      </c>
      <c r="BC474" s="4" t="s">
        <v>2687</v>
      </c>
      <c r="BD474" s="4" t="s">
        <v>2688</v>
      </c>
      <c r="BE474" s="4" t="s">
        <v>91</v>
      </c>
      <c r="BL474" s="4" t="s">
        <v>2690</v>
      </c>
      <c r="BM474" s="4" t="s">
        <v>2689</v>
      </c>
    </row>
    <row r="475" spans="4:65">
      <c r="D475" s="17" t="str">
        <f t="shared" si="120"/>
        <v>ErgänzungsfuttermittelKatzeAndere Supplemente</v>
      </c>
      <c r="E475" s="4" t="s">
        <v>91</v>
      </c>
      <c r="F475" s="19" t="s">
        <v>90</v>
      </c>
      <c r="G475" s="4" t="s">
        <v>93</v>
      </c>
      <c r="L475" s="4" t="s">
        <v>2704</v>
      </c>
      <c r="M475">
        <f t="shared" si="121"/>
        <v>0.6</v>
      </c>
      <c r="N475">
        <f t="shared" si="122"/>
        <v>0.5</v>
      </c>
      <c r="P475">
        <f t="shared" si="123"/>
        <v>0</v>
      </c>
      <c r="R475">
        <f t="shared" si="119"/>
        <v>0.4</v>
      </c>
      <c r="U475" s="33" t="str">
        <f t="shared" si="117"/>
        <v/>
      </c>
      <c r="AF475" s="4">
        <f t="shared" si="124"/>
        <v>0</v>
      </c>
      <c r="AL475" s="4">
        <f t="shared" si="118"/>
        <v>0</v>
      </c>
      <c r="BA475" s="4">
        <v>140</v>
      </c>
      <c r="BB475" s="4">
        <v>2</v>
      </c>
      <c r="BC475" s="4" t="s">
        <v>2700</v>
      </c>
      <c r="BD475" s="4" t="s">
        <v>2701</v>
      </c>
      <c r="BE475" s="4" t="s">
        <v>91</v>
      </c>
      <c r="BF475" s="4">
        <v>0.6</v>
      </c>
      <c r="BG475" s="4">
        <v>0.5</v>
      </c>
      <c r="BI475" s="4">
        <v>0</v>
      </c>
      <c r="BK475" s="4">
        <v>0.4</v>
      </c>
      <c r="BL475" s="4" t="s">
        <v>2703</v>
      </c>
      <c r="BM475" s="4" t="s">
        <v>2702</v>
      </c>
    </row>
    <row r="476" spans="4:65">
      <c r="D476" s="17" t="str">
        <f t="shared" si="120"/>
        <v>ErgänzungsfuttermittelKatzeAndere Supplemente</v>
      </c>
      <c r="E476" s="4" t="s">
        <v>91</v>
      </c>
      <c r="F476" s="19" t="s">
        <v>90</v>
      </c>
      <c r="G476" s="4" t="s">
        <v>93</v>
      </c>
      <c r="L476" s="4" t="s">
        <v>2729</v>
      </c>
      <c r="M476">
        <f t="shared" si="121"/>
        <v>11</v>
      </c>
      <c r="N476">
        <f t="shared" si="122"/>
        <v>45</v>
      </c>
      <c r="P476">
        <f t="shared" si="123"/>
        <v>12.5</v>
      </c>
      <c r="R476">
        <f t="shared" si="119"/>
        <v>0.1</v>
      </c>
      <c r="U476" s="33" t="str">
        <f t="shared" si="117"/>
        <v/>
      </c>
      <c r="AF476" s="4">
        <f t="shared" si="124"/>
        <v>0</v>
      </c>
      <c r="AL476" s="4">
        <f t="shared" si="118"/>
        <v>0</v>
      </c>
      <c r="AZ476" s="4">
        <v>4000</v>
      </c>
      <c r="BA476" s="4">
        <v>191.67</v>
      </c>
      <c r="BB476" s="4">
        <v>2.88</v>
      </c>
      <c r="BC476" s="4" t="s">
        <v>2729</v>
      </c>
      <c r="BD476" s="4" t="s">
        <v>2701</v>
      </c>
      <c r="BE476" s="4" t="s">
        <v>91</v>
      </c>
      <c r="BF476" s="4">
        <v>11</v>
      </c>
      <c r="BG476" s="4">
        <v>45</v>
      </c>
      <c r="BI476" s="4">
        <v>12.5</v>
      </c>
      <c r="BK476" s="4">
        <v>0.1</v>
      </c>
      <c r="BL476" s="4" t="s">
        <v>2731</v>
      </c>
      <c r="BM476" s="4" t="s">
        <v>2730</v>
      </c>
    </row>
    <row r="477" spans="4:65">
      <c r="D477" s="17" t="str">
        <f t="shared" si="120"/>
        <v>ErgänzungsfuttermittelKatzeAndere Supplemente</v>
      </c>
      <c r="E477" s="4" t="s">
        <v>91</v>
      </c>
      <c r="F477" s="19" t="s">
        <v>90</v>
      </c>
      <c r="G477" s="4" t="s">
        <v>93</v>
      </c>
      <c r="L477" s="4" t="s">
        <v>2732</v>
      </c>
      <c r="M477">
        <f t="shared" si="121"/>
        <v>4</v>
      </c>
      <c r="N477">
        <f t="shared" si="122"/>
        <v>44.3</v>
      </c>
      <c r="P477">
        <f t="shared" si="123"/>
        <v>0.5</v>
      </c>
      <c r="R477">
        <f t="shared" si="119"/>
        <v>0.5</v>
      </c>
      <c r="U477" s="33" t="str">
        <f t="shared" si="117"/>
        <v/>
      </c>
      <c r="AF477" s="4">
        <f t="shared" si="124"/>
        <v>0</v>
      </c>
      <c r="AL477" s="4">
        <f t="shared" si="118"/>
        <v>0</v>
      </c>
      <c r="BA477" s="4">
        <v>605.11</v>
      </c>
      <c r="BB477" s="4">
        <v>0.72</v>
      </c>
      <c r="BC477" s="4" t="s">
        <v>2732</v>
      </c>
      <c r="BD477" s="4" t="s">
        <v>2701</v>
      </c>
      <c r="BE477" s="4" t="s">
        <v>91</v>
      </c>
      <c r="BF477" s="4">
        <v>4</v>
      </c>
      <c r="BG477" s="4">
        <v>44.3</v>
      </c>
      <c r="BI477" s="4">
        <v>0.5</v>
      </c>
      <c r="BK477" s="4">
        <v>0.5</v>
      </c>
      <c r="BL477" s="4" t="s">
        <v>2734</v>
      </c>
      <c r="BM477" s="4" t="s">
        <v>2733</v>
      </c>
    </row>
    <row r="478" spans="4:65">
      <c r="D478" s="17" t="str">
        <f t="shared" si="120"/>
        <v>ErgänzungsfuttermittelKatzeAndere Supplemente</v>
      </c>
      <c r="E478" s="4" t="s">
        <v>91</v>
      </c>
      <c r="F478" s="19" t="s">
        <v>90</v>
      </c>
      <c r="G478" s="4" t="s">
        <v>93</v>
      </c>
      <c r="L478" s="4" t="s">
        <v>2735</v>
      </c>
      <c r="M478">
        <f t="shared" si="121"/>
        <v>5.6</v>
      </c>
      <c r="N478">
        <f t="shared" si="122"/>
        <v>0.7</v>
      </c>
      <c r="P478">
        <f t="shared" si="123"/>
        <v>0</v>
      </c>
      <c r="R478">
        <f t="shared" si="119"/>
        <v>0</v>
      </c>
      <c r="S478" s="4">
        <v>40</v>
      </c>
      <c r="T478" s="4">
        <v>1</v>
      </c>
      <c r="U478" s="33">
        <f t="shared" si="117"/>
        <v>40</v>
      </c>
      <c r="V478" s="4">
        <v>20</v>
      </c>
      <c r="W478" s="4">
        <v>370</v>
      </c>
      <c r="X478" s="4">
        <v>1810</v>
      </c>
      <c r="Y478" s="4">
        <v>3550</v>
      </c>
      <c r="AF478" s="4">
        <f t="shared" si="124"/>
        <v>0</v>
      </c>
      <c r="AL478" s="4">
        <f t="shared" si="118"/>
        <v>0</v>
      </c>
      <c r="AZ478" s="4">
        <v>500</v>
      </c>
      <c r="BA478" s="4">
        <v>68.7</v>
      </c>
      <c r="BC478" s="4" t="s">
        <v>2735</v>
      </c>
      <c r="BD478" s="4" t="s">
        <v>2701</v>
      </c>
      <c r="BE478" s="4" t="s">
        <v>91</v>
      </c>
      <c r="BF478" s="4">
        <v>5.6</v>
      </c>
      <c r="BG478" s="4">
        <v>0.7</v>
      </c>
      <c r="BL478" s="4" t="s">
        <v>2736</v>
      </c>
      <c r="BM478" s="4" t="s">
        <v>2737</v>
      </c>
    </row>
    <row r="479" spans="4:65">
      <c r="D479" s="17" t="str">
        <f t="shared" si="120"/>
        <v>ErgänzungsfuttermittelKatzeAndere Supplemente</v>
      </c>
      <c r="E479" s="4" t="s">
        <v>91</v>
      </c>
      <c r="F479" s="19" t="s">
        <v>90</v>
      </c>
      <c r="G479" s="4" t="s">
        <v>93</v>
      </c>
      <c r="L479" s="4" t="s">
        <v>2741</v>
      </c>
      <c r="M479">
        <f t="shared" si="121"/>
        <v>2.5</v>
      </c>
      <c r="N479">
        <f t="shared" si="122"/>
        <v>22</v>
      </c>
      <c r="P479">
        <f t="shared" si="123"/>
        <v>2</v>
      </c>
      <c r="R479">
        <f t="shared" si="119"/>
        <v>9.6</v>
      </c>
      <c r="U479" s="33" t="str">
        <f t="shared" si="117"/>
        <v/>
      </c>
      <c r="AF479" s="4">
        <f t="shared" si="124"/>
        <v>0</v>
      </c>
      <c r="AL479" s="4">
        <f t="shared" si="118"/>
        <v>0</v>
      </c>
      <c r="BA479" s="4">
        <v>167.72</v>
      </c>
      <c r="BB479" s="4">
        <v>2</v>
      </c>
      <c r="BC479" s="4" t="s">
        <v>2738</v>
      </c>
      <c r="BD479" s="4" t="s">
        <v>2701</v>
      </c>
      <c r="BE479" s="4" t="s">
        <v>91</v>
      </c>
      <c r="BF479" s="4">
        <v>2.5</v>
      </c>
      <c r="BG479" s="4">
        <v>22</v>
      </c>
      <c r="BI479" s="4">
        <v>2</v>
      </c>
      <c r="BK479" s="4">
        <v>9.6</v>
      </c>
      <c r="BL479" s="4" t="s">
        <v>2740</v>
      </c>
      <c r="BM479" s="4" t="s">
        <v>2739</v>
      </c>
    </row>
    <row r="480" spans="4:65">
      <c r="D480" s="17" t="str">
        <f t="shared" si="120"/>
        <v>ErgänzungsfuttermittelKatzeAndere Supplemente</v>
      </c>
      <c r="E480" s="4" t="s">
        <v>91</v>
      </c>
      <c r="F480" s="19" t="s">
        <v>90</v>
      </c>
      <c r="G480" s="4" t="s">
        <v>93</v>
      </c>
      <c r="L480" s="4" t="s">
        <v>2742</v>
      </c>
      <c r="M480">
        <f t="shared" si="121"/>
        <v>11.5</v>
      </c>
      <c r="N480">
        <f t="shared" si="122"/>
        <v>41</v>
      </c>
      <c r="P480">
        <f t="shared" si="123"/>
        <v>11.5</v>
      </c>
      <c r="R480">
        <f t="shared" si="119"/>
        <v>3</v>
      </c>
      <c r="U480" s="33" t="str">
        <f t="shared" si="117"/>
        <v/>
      </c>
      <c r="AF480" s="4">
        <f t="shared" si="124"/>
        <v>0</v>
      </c>
      <c r="AL480" s="4">
        <f t="shared" si="118"/>
        <v>0</v>
      </c>
      <c r="BA480" s="4">
        <v>355.01</v>
      </c>
      <c r="BB480" s="4">
        <v>1</v>
      </c>
      <c r="BC480" s="4" t="s">
        <v>2742</v>
      </c>
      <c r="BD480" s="4" t="s">
        <v>2701</v>
      </c>
      <c r="BE480" s="4" t="s">
        <v>91</v>
      </c>
      <c r="BF480" s="4">
        <v>11.5</v>
      </c>
      <c r="BG480" s="4">
        <v>41</v>
      </c>
      <c r="BI480" s="4">
        <v>11.5</v>
      </c>
      <c r="BK480" s="4">
        <v>3</v>
      </c>
      <c r="BL480" s="4" t="s">
        <v>2744</v>
      </c>
      <c r="BM480" s="4" t="s">
        <v>2743</v>
      </c>
    </row>
    <row r="481" spans="4:65">
      <c r="D481" s="17" t="str">
        <f t="shared" si="120"/>
        <v>ErgänzungsfuttermittelKatzeAndere Supplemente</v>
      </c>
      <c r="E481" s="4" t="s">
        <v>91</v>
      </c>
      <c r="F481" s="19" t="s">
        <v>90</v>
      </c>
      <c r="G481" s="4" t="s">
        <v>93</v>
      </c>
      <c r="L481" s="4" t="s">
        <v>2745</v>
      </c>
      <c r="M481">
        <f t="shared" si="121"/>
        <v>0.2</v>
      </c>
      <c r="N481">
        <f t="shared" si="122"/>
        <v>0.1</v>
      </c>
      <c r="P481">
        <f t="shared" si="123"/>
        <v>0</v>
      </c>
      <c r="R481">
        <f t="shared" si="119"/>
        <v>0.1</v>
      </c>
      <c r="U481" s="33" t="str">
        <f t="shared" si="117"/>
        <v/>
      </c>
      <c r="AF481" s="4">
        <f t="shared" si="124"/>
        <v>0</v>
      </c>
      <c r="AL481" s="4">
        <f t="shared" si="118"/>
        <v>0</v>
      </c>
      <c r="BA481" s="4">
        <v>91.8</v>
      </c>
      <c r="BB481" s="4">
        <v>4</v>
      </c>
      <c r="BC481" s="4" t="s">
        <v>2745</v>
      </c>
      <c r="BD481" s="4" t="s">
        <v>2746</v>
      </c>
      <c r="BE481" s="4" t="s">
        <v>91</v>
      </c>
      <c r="BF481" s="4">
        <v>0.2</v>
      </c>
      <c r="BG481" s="4">
        <v>0.1</v>
      </c>
      <c r="BK481" s="4">
        <v>0.1</v>
      </c>
      <c r="BL481" s="4" t="s">
        <v>2748</v>
      </c>
      <c r="BM481" s="4" t="s">
        <v>2747</v>
      </c>
    </row>
    <row r="482" spans="4:65">
      <c r="D482" s="17" t="str">
        <f t="shared" si="120"/>
        <v>ErgänzungsfuttermittelKatzeAndere Supplemente</v>
      </c>
      <c r="E482" s="4" t="s">
        <v>91</v>
      </c>
      <c r="F482" s="19" t="s">
        <v>90</v>
      </c>
      <c r="G482" s="4" t="s">
        <v>93</v>
      </c>
      <c r="L482" s="4" t="s">
        <v>2749</v>
      </c>
      <c r="M482">
        <f t="shared" si="121"/>
        <v>7.2</v>
      </c>
      <c r="N482">
        <f t="shared" si="122"/>
        <v>34.799999999999997</v>
      </c>
      <c r="P482">
        <f t="shared" si="123"/>
        <v>1.5</v>
      </c>
      <c r="R482">
        <f t="shared" si="119"/>
        <v>31.4</v>
      </c>
      <c r="U482" s="33" t="str">
        <f t="shared" si="117"/>
        <v/>
      </c>
      <c r="AF482" s="4">
        <f t="shared" si="124"/>
        <v>0</v>
      </c>
      <c r="AL482" s="4">
        <f t="shared" si="118"/>
        <v>0</v>
      </c>
      <c r="BA482" s="4">
        <v>92.67</v>
      </c>
      <c r="BB482" s="4">
        <v>1.5</v>
      </c>
      <c r="BC482" s="4" t="s">
        <v>2750</v>
      </c>
      <c r="BD482" s="4" t="s">
        <v>2751</v>
      </c>
      <c r="BE482" s="4" t="s">
        <v>91</v>
      </c>
      <c r="BF482" s="4">
        <v>7.2</v>
      </c>
      <c r="BG482" s="4">
        <v>34.799999999999997</v>
      </c>
      <c r="BI482" s="4">
        <v>1.5</v>
      </c>
      <c r="BK482" s="4">
        <v>31.4</v>
      </c>
      <c r="BL482" s="4" t="s">
        <v>2753</v>
      </c>
      <c r="BM482" s="4" t="s">
        <v>2752</v>
      </c>
    </row>
    <row r="483" spans="4:65">
      <c r="D483" s="17" t="str">
        <f t="shared" si="120"/>
        <v>ErgänzungsfuttermittelKatzeAndere Supplemente</v>
      </c>
      <c r="E483" s="4" t="s">
        <v>91</v>
      </c>
      <c r="F483" s="19" t="s">
        <v>90</v>
      </c>
      <c r="G483" s="4" t="s">
        <v>93</v>
      </c>
      <c r="L483" s="4" t="s">
        <v>2757</v>
      </c>
      <c r="M483">
        <f t="shared" si="121"/>
        <v>1.6</v>
      </c>
      <c r="N483">
        <f t="shared" si="122"/>
        <v>6.1</v>
      </c>
      <c r="P483">
        <f t="shared" si="123"/>
        <v>27.8</v>
      </c>
      <c r="R483">
        <f t="shared" si="119"/>
        <v>1.3</v>
      </c>
      <c r="U483" s="33" t="str">
        <f t="shared" si="117"/>
        <v/>
      </c>
      <c r="AF483" s="4">
        <f t="shared" si="124"/>
        <v>0</v>
      </c>
      <c r="AL483" s="4">
        <f t="shared" si="118"/>
        <v>0</v>
      </c>
      <c r="BA483" s="4">
        <v>80.900000000000006</v>
      </c>
      <c r="BC483" s="4" t="s">
        <v>2754</v>
      </c>
      <c r="BD483" s="4" t="s">
        <v>2751</v>
      </c>
      <c r="BE483" s="4" t="s">
        <v>91</v>
      </c>
      <c r="BF483" s="4">
        <v>1.6</v>
      </c>
      <c r="BG483" s="4">
        <v>6.1</v>
      </c>
      <c r="BI483" s="4">
        <v>27.8</v>
      </c>
      <c r="BK483" s="4">
        <v>1.3</v>
      </c>
      <c r="BL483" s="4" t="s">
        <v>2756</v>
      </c>
      <c r="BM483" s="4" t="s">
        <v>2755</v>
      </c>
    </row>
    <row r="484" spans="4:65">
      <c r="D484" s="17" t="str">
        <f t="shared" si="120"/>
        <v>ErgänzungsfuttermittelKatzeAndere Supplemente</v>
      </c>
      <c r="E484" s="4" t="s">
        <v>91</v>
      </c>
      <c r="F484" s="19" t="s">
        <v>90</v>
      </c>
      <c r="G484" s="4" t="s">
        <v>93</v>
      </c>
      <c r="L484" s="4" t="s">
        <v>2769</v>
      </c>
      <c r="M484">
        <f t="shared" si="121"/>
        <v>10.199999999999999</v>
      </c>
      <c r="N484">
        <f t="shared" si="122"/>
        <v>21.1</v>
      </c>
      <c r="P484">
        <f t="shared" si="123"/>
        <v>4.8</v>
      </c>
      <c r="R484">
        <f t="shared" si="119"/>
        <v>9.3000000000000007</v>
      </c>
      <c r="U484" s="33" t="str">
        <f t="shared" si="117"/>
        <v/>
      </c>
      <c r="W484" s="4">
        <v>1000</v>
      </c>
      <c r="X484" s="4">
        <v>1800</v>
      </c>
      <c r="AF484" s="4">
        <f t="shared" si="124"/>
        <v>0</v>
      </c>
      <c r="AL484" s="4">
        <f t="shared" si="118"/>
        <v>0</v>
      </c>
      <c r="BA484" s="4">
        <v>243.97</v>
      </c>
      <c r="BB484" s="4">
        <v>5</v>
      </c>
      <c r="BC484" s="4" t="s">
        <v>2769</v>
      </c>
      <c r="BD484" s="4" t="s">
        <v>2770</v>
      </c>
      <c r="BE484" s="4" t="s">
        <v>91</v>
      </c>
      <c r="BF484" s="4">
        <v>10.199999999999999</v>
      </c>
      <c r="BG484" s="4">
        <v>21.1</v>
      </c>
      <c r="BI484" s="4">
        <v>4.8</v>
      </c>
      <c r="BK484" s="4">
        <v>9.3000000000000007</v>
      </c>
      <c r="BL484" s="4" t="s">
        <v>2771</v>
      </c>
      <c r="BM484" s="4" t="s">
        <v>2772</v>
      </c>
    </row>
    <row r="485" spans="4:65">
      <c r="D485" s="17" t="str">
        <f t="shared" si="120"/>
        <v>ErgänzungsfuttermittelKatzeAndere Supplemente</v>
      </c>
      <c r="E485" s="4" t="s">
        <v>91</v>
      </c>
      <c r="F485" s="19" t="s">
        <v>90</v>
      </c>
      <c r="G485" s="4" t="s">
        <v>93</v>
      </c>
      <c r="L485" s="4" t="s">
        <v>2773</v>
      </c>
      <c r="M485">
        <f t="shared" si="121"/>
        <v>9</v>
      </c>
      <c r="N485">
        <f t="shared" si="122"/>
        <v>15</v>
      </c>
      <c r="P485">
        <f t="shared" si="123"/>
        <v>4</v>
      </c>
      <c r="R485">
        <f t="shared" si="119"/>
        <v>5.4</v>
      </c>
      <c r="U485" s="33" t="str">
        <f t="shared" si="117"/>
        <v/>
      </c>
      <c r="AF485" s="4">
        <f t="shared" si="124"/>
        <v>0</v>
      </c>
      <c r="AL485" s="4">
        <f t="shared" si="118"/>
        <v>0</v>
      </c>
      <c r="BA485" s="4">
        <v>813.33</v>
      </c>
      <c r="BB485" s="4">
        <v>0.75</v>
      </c>
      <c r="BC485" s="4" t="s">
        <v>2773</v>
      </c>
      <c r="BD485" s="4" t="s">
        <v>2770</v>
      </c>
      <c r="BE485" s="4" t="s">
        <v>91</v>
      </c>
      <c r="BF485" s="4">
        <v>9</v>
      </c>
      <c r="BG485" s="4">
        <v>15</v>
      </c>
      <c r="BI485" s="4">
        <v>4</v>
      </c>
      <c r="BK485" s="4">
        <v>5.4</v>
      </c>
      <c r="BL485" s="4" t="s">
        <v>2774</v>
      </c>
      <c r="BM485" s="4" t="s">
        <v>2775</v>
      </c>
    </row>
    <row r="486" spans="4:65">
      <c r="D486" s="17" t="str">
        <f t="shared" si="120"/>
        <v>ErgänzungsfuttermittelKatzeAndere Supplemente</v>
      </c>
      <c r="E486" s="4" t="s">
        <v>91</v>
      </c>
      <c r="F486" s="19" t="s">
        <v>90</v>
      </c>
      <c r="G486" s="4" t="s">
        <v>93</v>
      </c>
      <c r="L486" s="4" t="s">
        <v>2784</v>
      </c>
      <c r="M486">
        <f t="shared" si="121"/>
        <v>7.32</v>
      </c>
      <c r="N486">
        <f t="shared" si="122"/>
        <v>25.8</v>
      </c>
      <c r="P486">
        <f t="shared" si="123"/>
        <v>5.28</v>
      </c>
      <c r="R486">
        <f t="shared" si="119"/>
        <v>3.53</v>
      </c>
      <c r="U486" s="33" t="str">
        <f t="shared" si="117"/>
        <v/>
      </c>
      <c r="AF486" s="4">
        <f t="shared" si="124"/>
        <v>0</v>
      </c>
      <c r="AL486" s="4">
        <f t="shared" si="118"/>
        <v>0</v>
      </c>
      <c r="BA486" s="4">
        <v>43.8</v>
      </c>
      <c r="BC486" s="4" t="s">
        <v>2785</v>
      </c>
      <c r="BD486" s="4" t="s">
        <v>2770</v>
      </c>
      <c r="BE486" s="4" t="s">
        <v>91</v>
      </c>
      <c r="BF486" s="4">
        <v>7.32</v>
      </c>
      <c r="BG486" s="4">
        <v>25.8</v>
      </c>
      <c r="BI486" s="4">
        <v>5.28</v>
      </c>
      <c r="BK486" s="4">
        <v>3.53</v>
      </c>
      <c r="BL486" s="4" t="s">
        <v>2787</v>
      </c>
      <c r="BM486" s="4" t="s">
        <v>2786</v>
      </c>
    </row>
    <row r="487" spans="4:65">
      <c r="D487" s="17" t="str">
        <f t="shared" si="120"/>
        <v>ErgänzungsfuttermittelKatzeAndere Supplemente</v>
      </c>
      <c r="E487" s="4" t="s">
        <v>91</v>
      </c>
      <c r="F487" s="19" t="s">
        <v>90</v>
      </c>
      <c r="G487" s="4" t="s">
        <v>93</v>
      </c>
      <c r="L487" s="4" t="s">
        <v>2788</v>
      </c>
      <c r="M487">
        <f t="shared" si="121"/>
        <v>0.9</v>
      </c>
      <c r="N487">
        <f t="shared" si="122"/>
        <v>0.5</v>
      </c>
      <c r="P487">
        <f t="shared" si="123"/>
        <v>75</v>
      </c>
      <c r="R487">
        <f t="shared" si="119"/>
        <v>0.1</v>
      </c>
      <c r="S487" s="4">
        <v>30</v>
      </c>
      <c r="T487" s="4">
        <v>100</v>
      </c>
      <c r="U487" s="33">
        <f t="shared" si="117"/>
        <v>0.3</v>
      </c>
      <c r="V487" s="4">
        <v>10</v>
      </c>
      <c r="X487" s="4">
        <v>10</v>
      </c>
      <c r="AF487" s="4">
        <f t="shared" si="124"/>
        <v>0</v>
      </c>
      <c r="AL487" s="4">
        <f t="shared" si="118"/>
        <v>0</v>
      </c>
      <c r="BA487" s="4">
        <v>635.83000000000004</v>
      </c>
      <c r="BB487" s="4">
        <v>1</v>
      </c>
      <c r="BC487" s="4" t="s">
        <v>2788</v>
      </c>
      <c r="BD487" s="4" t="s">
        <v>2770</v>
      </c>
      <c r="BE487" s="4" t="s">
        <v>91</v>
      </c>
      <c r="BF487" s="4">
        <v>0.9</v>
      </c>
      <c r="BG487" s="4">
        <v>0.5</v>
      </c>
      <c r="BI487" s="4">
        <v>75</v>
      </c>
      <c r="BK487" s="4">
        <v>0.1</v>
      </c>
      <c r="BL487" s="4" t="s">
        <v>2790</v>
      </c>
      <c r="BM487" s="4" t="s">
        <v>2789</v>
      </c>
    </row>
    <row r="488" spans="4:65">
      <c r="D488" s="17" t="str">
        <f t="shared" si="120"/>
        <v>ErgänzungsfuttermittelKatzeAndere Supplemente</v>
      </c>
      <c r="E488" s="4" t="s">
        <v>91</v>
      </c>
      <c r="F488" s="19" t="s">
        <v>90</v>
      </c>
      <c r="G488" s="4" t="s">
        <v>93</v>
      </c>
      <c r="L488" s="4" t="s">
        <v>2794</v>
      </c>
      <c r="M488">
        <f t="shared" si="121"/>
        <v>2.2000000000000002</v>
      </c>
      <c r="N488">
        <f t="shared" si="122"/>
        <v>1</v>
      </c>
      <c r="P488">
        <f t="shared" si="123"/>
        <v>78</v>
      </c>
      <c r="R488">
        <f t="shared" si="119"/>
        <v>1.5</v>
      </c>
      <c r="S488" s="4">
        <v>30</v>
      </c>
      <c r="T488" s="4">
        <v>1</v>
      </c>
      <c r="U488" s="33">
        <f t="shared" si="117"/>
        <v>30</v>
      </c>
      <c r="V488" s="4">
        <v>10.6</v>
      </c>
      <c r="X488" s="4">
        <v>10</v>
      </c>
      <c r="AF488" s="4">
        <f t="shared" si="124"/>
        <v>0</v>
      </c>
      <c r="AL488" s="4">
        <f t="shared" si="118"/>
        <v>0</v>
      </c>
      <c r="BA488" s="4">
        <v>671.6</v>
      </c>
      <c r="BB488" s="4">
        <v>1</v>
      </c>
      <c r="BC488" s="4" t="s">
        <v>2794</v>
      </c>
      <c r="BD488" s="4" t="s">
        <v>2770</v>
      </c>
      <c r="BE488" s="4" t="s">
        <v>91</v>
      </c>
      <c r="BF488" s="4">
        <v>2.2000000000000002</v>
      </c>
      <c r="BG488" s="4">
        <v>1</v>
      </c>
      <c r="BI488" s="4">
        <v>78</v>
      </c>
      <c r="BK488" s="4">
        <v>1.5</v>
      </c>
      <c r="BL488" s="4" t="s">
        <v>2796</v>
      </c>
      <c r="BM488" s="4" t="s">
        <v>2795</v>
      </c>
    </row>
    <row r="489" spans="4:65">
      <c r="D489" s="17" t="str">
        <f t="shared" si="120"/>
        <v>ErgänzungsfuttermittelKatzeAndere Supplemente</v>
      </c>
      <c r="E489" s="4" t="s">
        <v>91</v>
      </c>
      <c r="F489" s="19" t="s">
        <v>90</v>
      </c>
      <c r="G489" s="4" t="s">
        <v>93</v>
      </c>
      <c r="L489" s="4" t="s">
        <v>2800</v>
      </c>
      <c r="M489">
        <f t="shared" si="121"/>
        <v>18</v>
      </c>
      <c r="N489">
        <f t="shared" si="122"/>
        <v>6.2</v>
      </c>
      <c r="P489">
        <f t="shared" si="123"/>
        <v>1.8</v>
      </c>
      <c r="R489">
        <f t="shared" si="119"/>
        <v>6.9</v>
      </c>
      <c r="U489" s="33" t="str">
        <f t="shared" si="117"/>
        <v/>
      </c>
      <c r="AF489" s="4">
        <f t="shared" si="124"/>
        <v>0</v>
      </c>
      <c r="AL489" s="4">
        <f t="shared" si="118"/>
        <v>0</v>
      </c>
      <c r="BA489" s="4">
        <v>122.57</v>
      </c>
      <c r="BB489" s="4">
        <v>1</v>
      </c>
      <c r="BC489" s="4" t="s">
        <v>2800</v>
      </c>
      <c r="BD489" s="4" t="s">
        <v>2801</v>
      </c>
      <c r="BE489" s="4" t="s">
        <v>91</v>
      </c>
      <c r="BF489" s="4">
        <v>18</v>
      </c>
      <c r="BG489" s="4">
        <v>6.2</v>
      </c>
      <c r="BI489" s="4">
        <v>1.8</v>
      </c>
      <c r="BK489" s="4">
        <v>6.9</v>
      </c>
      <c r="BL489" s="4" t="s">
        <v>2802</v>
      </c>
      <c r="BM489" s="4" t="s">
        <v>2803</v>
      </c>
    </row>
    <row r="490" spans="4:65">
      <c r="D490" s="17" t="str">
        <f t="shared" si="120"/>
        <v>ErgänzungsfuttermittelKatzeAndere Supplemente</v>
      </c>
      <c r="E490" s="4" t="s">
        <v>91</v>
      </c>
      <c r="F490" s="19" t="s">
        <v>90</v>
      </c>
      <c r="G490" s="4" t="s">
        <v>93</v>
      </c>
      <c r="L490" s="4" t="s">
        <v>2804</v>
      </c>
      <c r="M490">
        <f t="shared" si="121"/>
        <v>0.4</v>
      </c>
      <c r="N490">
        <f t="shared" si="122"/>
        <v>0.3</v>
      </c>
      <c r="P490">
        <f t="shared" si="123"/>
        <v>0.1</v>
      </c>
      <c r="R490">
        <f t="shared" si="119"/>
        <v>0.6</v>
      </c>
      <c r="U490" s="33" t="str">
        <f t="shared" si="117"/>
        <v/>
      </c>
      <c r="AF490" s="4">
        <f t="shared" si="124"/>
        <v>0</v>
      </c>
      <c r="AL490" s="4">
        <f t="shared" si="118"/>
        <v>0</v>
      </c>
      <c r="BA490" s="4">
        <v>54.61</v>
      </c>
      <c r="BB490" s="4">
        <v>2</v>
      </c>
      <c r="BC490" s="4" t="s">
        <v>2805</v>
      </c>
      <c r="BD490" s="4" t="s">
        <v>2801</v>
      </c>
      <c r="BE490" s="4" t="s">
        <v>91</v>
      </c>
      <c r="BF490" s="4">
        <v>0.4</v>
      </c>
      <c r="BG490" s="4">
        <v>0.3</v>
      </c>
      <c r="BI490" s="4">
        <v>0.1</v>
      </c>
      <c r="BK490" s="4">
        <v>0.6</v>
      </c>
      <c r="BL490" s="4" t="s">
        <v>2807</v>
      </c>
      <c r="BM490" s="4" t="s">
        <v>2806</v>
      </c>
    </row>
    <row r="491" spans="4:65">
      <c r="D491" s="17" t="str">
        <f t="shared" si="120"/>
        <v>ErgänzungsfuttermittelKatzeAndere Supplemente</v>
      </c>
      <c r="E491" s="4" t="s">
        <v>91</v>
      </c>
      <c r="F491" s="19" t="s">
        <v>90</v>
      </c>
      <c r="G491" s="4" t="s">
        <v>93</v>
      </c>
      <c r="L491" s="4" t="s">
        <v>2811</v>
      </c>
      <c r="M491">
        <f t="shared" si="121"/>
        <v>0.4</v>
      </c>
      <c r="N491">
        <f t="shared" si="122"/>
        <v>0.3</v>
      </c>
      <c r="P491">
        <f t="shared" si="123"/>
        <v>0.1</v>
      </c>
      <c r="R491">
        <f t="shared" si="119"/>
        <v>0.6</v>
      </c>
      <c r="U491" s="33" t="str">
        <f t="shared" si="117"/>
        <v/>
      </c>
      <c r="AF491" s="4">
        <f t="shared" si="124"/>
        <v>0</v>
      </c>
      <c r="AL491" s="4">
        <f t="shared" si="118"/>
        <v>0</v>
      </c>
      <c r="BA491" s="4">
        <v>71.8</v>
      </c>
      <c r="BB491" s="4">
        <v>2</v>
      </c>
      <c r="BC491" s="4" t="s">
        <v>2808</v>
      </c>
      <c r="BD491" s="4" t="s">
        <v>2801</v>
      </c>
      <c r="BE491" s="4" t="s">
        <v>91</v>
      </c>
      <c r="BF491" s="4">
        <v>0.4</v>
      </c>
      <c r="BG491" s="4">
        <v>0.3</v>
      </c>
      <c r="BI491" s="4">
        <v>0.1</v>
      </c>
      <c r="BK491" s="4">
        <v>0.6</v>
      </c>
      <c r="BL491" s="4" t="s">
        <v>2810</v>
      </c>
      <c r="BM491" s="4" t="s">
        <v>2809</v>
      </c>
    </row>
    <row r="492" spans="4:65">
      <c r="D492" s="17" t="str">
        <f t="shared" si="120"/>
        <v>ErgänzungsfuttermittelKatzeAndere Supplemente</v>
      </c>
      <c r="E492" s="4" t="s">
        <v>91</v>
      </c>
      <c r="F492" s="19" t="s">
        <v>90</v>
      </c>
      <c r="G492" s="4" t="s">
        <v>93</v>
      </c>
      <c r="L492" s="4" t="s">
        <v>2812</v>
      </c>
      <c r="M492">
        <f t="shared" si="121"/>
        <v>13</v>
      </c>
      <c r="N492">
        <f t="shared" si="122"/>
        <v>15</v>
      </c>
      <c r="P492">
        <f t="shared" si="123"/>
        <v>0.4</v>
      </c>
      <c r="R492">
        <f t="shared" si="119"/>
        <v>12.5</v>
      </c>
      <c r="S492" s="4">
        <v>1300</v>
      </c>
      <c r="T492" s="4">
        <v>500</v>
      </c>
      <c r="U492" s="33">
        <f t="shared" si="117"/>
        <v>2.6</v>
      </c>
      <c r="X492" s="4">
        <v>200</v>
      </c>
      <c r="AF492" s="4">
        <f t="shared" si="124"/>
        <v>0</v>
      </c>
      <c r="AL492" s="4">
        <f t="shared" si="118"/>
        <v>0</v>
      </c>
      <c r="BA492" s="4">
        <v>159.6</v>
      </c>
      <c r="BB492" s="4">
        <v>1.2</v>
      </c>
      <c r="BC492" s="4" t="s">
        <v>2817</v>
      </c>
      <c r="BD492" s="4" t="s">
        <v>2801</v>
      </c>
      <c r="BE492" s="4" t="s">
        <v>91</v>
      </c>
      <c r="BF492" s="4">
        <v>13</v>
      </c>
      <c r="BG492" s="4">
        <v>15</v>
      </c>
      <c r="BI492" s="4">
        <v>0.4</v>
      </c>
      <c r="BK492" s="4">
        <v>12.5</v>
      </c>
      <c r="BL492" s="4" t="s">
        <v>2814</v>
      </c>
      <c r="BM492" s="4" t="s">
        <v>2813</v>
      </c>
    </row>
    <row r="493" spans="4:65">
      <c r="D493" s="17" t="str">
        <f t="shared" si="120"/>
        <v>ErgänzungsfuttermittelKatzeAndere Supplemente</v>
      </c>
      <c r="E493" s="4" t="s">
        <v>91</v>
      </c>
      <c r="F493" s="19" t="s">
        <v>90</v>
      </c>
      <c r="G493" s="4" t="s">
        <v>93</v>
      </c>
      <c r="L493" s="4" t="s">
        <v>2815</v>
      </c>
      <c r="M493">
        <f t="shared" si="121"/>
        <v>11</v>
      </c>
      <c r="N493">
        <f t="shared" si="122"/>
        <v>17</v>
      </c>
      <c r="P493">
        <f t="shared" si="123"/>
        <v>0.3</v>
      </c>
      <c r="R493">
        <f t="shared" si="119"/>
        <v>11.2</v>
      </c>
      <c r="S493" s="4">
        <v>1200</v>
      </c>
      <c r="T493" s="4">
        <v>400</v>
      </c>
      <c r="U493" s="33">
        <f t="shared" si="117"/>
        <v>3</v>
      </c>
      <c r="X493" s="4">
        <v>200</v>
      </c>
      <c r="AF493" s="4">
        <f t="shared" si="124"/>
        <v>0</v>
      </c>
      <c r="AL493" s="4">
        <f t="shared" si="118"/>
        <v>0</v>
      </c>
      <c r="BA493" s="4">
        <v>159.6</v>
      </c>
      <c r="BB493" s="4">
        <v>1.2</v>
      </c>
      <c r="BC493" s="4" t="s">
        <v>2816</v>
      </c>
      <c r="BD493" s="4" t="s">
        <v>2801</v>
      </c>
      <c r="BE493" s="4" t="s">
        <v>91</v>
      </c>
      <c r="BF493" s="4">
        <v>11</v>
      </c>
      <c r="BG493" s="4">
        <v>17</v>
      </c>
      <c r="BI493" s="4">
        <v>0.3</v>
      </c>
      <c r="BK493" s="4">
        <v>11.2</v>
      </c>
      <c r="BL493" s="4" t="s">
        <v>2819</v>
      </c>
      <c r="BM493" s="4" t="s">
        <v>2818</v>
      </c>
    </row>
    <row r="494" spans="4:65">
      <c r="D494" s="17" t="str">
        <f t="shared" si="120"/>
        <v>ErgänzungsfuttermittelKatzeAndere Supplemente</v>
      </c>
      <c r="E494" s="4" t="s">
        <v>91</v>
      </c>
      <c r="F494" s="19" t="s">
        <v>90</v>
      </c>
      <c r="G494" s="4" t="s">
        <v>93</v>
      </c>
      <c r="L494" s="4" t="s">
        <v>2820</v>
      </c>
      <c r="M494">
        <f t="shared" si="121"/>
        <v>0.4</v>
      </c>
      <c r="N494">
        <f t="shared" si="122"/>
        <v>0.3</v>
      </c>
      <c r="P494">
        <f t="shared" si="123"/>
        <v>0.1</v>
      </c>
      <c r="R494">
        <f t="shared" si="119"/>
        <v>0.6</v>
      </c>
      <c r="U494" s="33" t="str">
        <f t="shared" si="117"/>
        <v/>
      </c>
      <c r="AF494" s="4">
        <f t="shared" si="124"/>
        <v>0</v>
      </c>
      <c r="AL494" s="4">
        <f t="shared" si="118"/>
        <v>0</v>
      </c>
      <c r="BA494" s="4">
        <v>71.8</v>
      </c>
      <c r="BB494" s="4">
        <v>2</v>
      </c>
      <c r="BC494" s="4" t="s">
        <v>2821</v>
      </c>
      <c r="BD494" s="4" t="s">
        <v>2801</v>
      </c>
      <c r="BE494" s="4" t="s">
        <v>91</v>
      </c>
      <c r="BF494" s="4">
        <v>0.4</v>
      </c>
      <c r="BG494" s="4">
        <v>0.3</v>
      </c>
      <c r="BI494" s="4">
        <v>0.1</v>
      </c>
      <c r="BK494" s="4">
        <v>0.6</v>
      </c>
      <c r="BL494" s="4" t="s">
        <v>2822</v>
      </c>
      <c r="BM494" s="4" t="s">
        <v>2823</v>
      </c>
    </row>
    <row r="495" spans="4:65">
      <c r="D495" s="17" t="str">
        <f t="shared" si="120"/>
        <v>ErgänzungsfuttermittelKatzeAndere Supplemente</v>
      </c>
      <c r="E495" s="4" t="s">
        <v>91</v>
      </c>
      <c r="F495" s="19" t="s">
        <v>90</v>
      </c>
      <c r="G495" s="4" t="s">
        <v>93</v>
      </c>
      <c r="L495" s="4" t="s">
        <v>2826</v>
      </c>
      <c r="M495">
        <f t="shared" si="121"/>
        <v>0</v>
      </c>
      <c r="N495">
        <f t="shared" si="122"/>
        <v>0</v>
      </c>
      <c r="P495">
        <f t="shared" si="123"/>
        <v>0</v>
      </c>
      <c r="R495">
        <f t="shared" si="119"/>
        <v>0</v>
      </c>
      <c r="U495" s="33" t="str">
        <f t="shared" si="117"/>
        <v/>
      </c>
      <c r="AF495" s="4">
        <f t="shared" si="124"/>
        <v>0</v>
      </c>
      <c r="AL495" s="4">
        <f t="shared" si="118"/>
        <v>0</v>
      </c>
      <c r="BA495" s="4">
        <v>28.14</v>
      </c>
      <c r="BB495" s="4">
        <v>3</v>
      </c>
      <c r="BC495" s="4" t="s">
        <v>2826</v>
      </c>
      <c r="BD495" s="4" t="s">
        <v>2801</v>
      </c>
      <c r="BE495" s="4" t="s">
        <v>91</v>
      </c>
      <c r="BL495" s="4" t="s">
        <v>2828</v>
      </c>
      <c r="BM495" s="4" t="s">
        <v>2827</v>
      </c>
    </row>
    <row r="496" spans="4:65">
      <c r="D496" s="17" t="str">
        <f t="shared" si="120"/>
        <v>ErgänzungsfuttermittelKatzeAndere Supplemente</v>
      </c>
      <c r="E496" s="4" t="s">
        <v>91</v>
      </c>
      <c r="F496" s="19" t="s">
        <v>90</v>
      </c>
      <c r="G496" s="4" t="s">
        <v>93</v>
      </c>
      <c r="L496" s="4" t="s">
        <v>2829</v>
      </c>
      <c r="M496">
        <f t="shared" si="121"/>
        <v>11</v>
      </c>
      <c r="N496">
        <f t="shared" si="122"/>
        <v>45.9</v>
      </c>
      <c r="P496">
        <f t="shared" si="123"/>
        <v>14.6</v>
      </c>
      <c r="R496">
        <f t="shared" si="119"/>
        <v>0.5</v>
      </c>
      <c r="S496" s="4">
        <v>470</v>
      </c>
      <c r="T496" s="4">
        <v>1160</v>
      </c>
      <c r="U496" s="33">
        <f t="shared" si="117"/>
        <v>0.40517241379310343</v>
      </c>
      <c r="V496" s="4">
        <v>130</v>
      </c>
      <c r="W496" s="4">
        <v>1020</v>
      </c>
      <c r="X496" s="4">
        <v>1020</v>
      </c>
      <c r="Y496" s="4">
        <v>2460</v>
      </c>
      <c r="AF496" s="4">
        <f t="shared" si="124"/>
        <v>0</v>
      </c>
      <c r="AL496" s="4">
        <f t="shared" si="118"/>
        <v>0</v>
      </c>
      <c r="AZ496" s="4">
        <v>4270</v>
      </c>
      <c r="BA496" s="4">
        <v>213.53</v>
      </c>
      <c r="BC496" s="4" t="s">
        <v>2830</v>
      </c>
      <c r="BD496" s="4" t="s">
        <v>2831</v>
      </c>
      <c r="BE496" s="4" t="s">
        <v>91</v>
      </c>
      <c r="BF496" s="4">
        <v>11</v>
      </c>
      <c r="BG496" s="4">
        <v>45.9</v>
      </c>
      <c r="BI496" s="4">
        <v>14.6</v>
      </c>
      <c r="BK496" s="4">
        <v>0.5</v>
      </c>
      <c r="BL496" s="4" t="s">
        <v>2832</v>
      </c>
      <c r="BM496" s="4" t="s">
        <v>2833</v>
      </c>
    </row>
    <row r="497" spans="4:65">
      <c r="D497" s="17" t="str">
        <f t="shared" si="120"/>
        <v>ErgänzungsfuttermittelKatzeAndere Supplemente</v>
      </c>
      <c r="E497" s="4" t="s">
        <v>91</v>
      </c>
      <c r="F497" s="19" t="s">
        <v>90</v>
      </c>
      <c r="G497" s="4" t="s">
        <v>93</v>
      </c>
      <c r="L497" s="4" t="s">
        <v>2909</v>
      </c>
      <c r="M497">
        <f t="shared" si="121"/>
        <v>1.5</v>
      </c>
      <c r="N497">
        <f t="shared" si="122"/>
        <v>7</v>
      </c>
      <c r="P497">
        <f t="shared" si="123"/>
        <v>5.5</v>
      </c>
      <c r="R497">
        <f t="shared" si="119"/>
        <v>2</v>
      </c>
      <c r="U497" s="33" t="str">
        <f t="shared" si="117"/>
        <v/>
      </c>
      <c r="AF497" s="4">
        <f t="shared" si="124"/>
        <v>0</v>
      </c>
      <c r="AL497" s="4">
        <f t="shared" si="118"/>
        <v>0</v>
      </c>
      <c r="BA497" s="4">
        <v>166.67</v>
      </c>
      <c r="BC497" s="4" t="s">
        <v>2909</v>
      </c>
      <c r="BD497" s="4" t="s">
        <v>2906</v>
      </c>
      <c r="BE497" s="4" t="s">
        <v>91</v>
      </c>
      <c r="BF497" s="4">
        <v>1.5</v>
      </c>
      <c r="BG497" s="4">
        <v>7</v>
      </c>
      <c r="BI497" s="4">
        <v>5.5</v>
      </c>
      <c r="BK497" s="4">
        <v>2</v>
      </c>
      <c r="BL497" s="4" t="s">
        <v>2911</v>
      </c>
      <c r="BM497" s="4" t="s">
        <v>2910</v>
      </c>
    </row>
    <row r="498" spans="4:65">
      <c r="D498" s="17" t="str">
        <f t="shared" si="120"/>
        <v>ErgänzungsfuttermittelKatzeAndere Supplemente</v>
      </c>
      <c r="E498" s="4" t="s">
        <v>91</v>
      </c>
      <c r="F498" s="19" t="s">
        <v>90</v>
      </c>
      <c r="G498" s="4" t="s">
        <v>93</v>
      </c>
      <c r="L498" s="4" t="s">
        <v>2912</v>
      </c>
      <c r="M498">
        <f t="shared" si="121"/>
        <v>0.5</v>
      </c>
      <c r="N498">
        <f t="shared" si="122"/>
        <v>1</v>
      </c>
      <c r="P498">
        <f t="shared" si="123"/>
        <v>0.1</v>
      </c>
      <c r="R498">
        <f t="shared" si="119"/>
        <v>0.3</v>
      </c>
      <c r="S498" s="4">
        <v>6</v>
      </c>
      <c r="T498" s="4">
        <v>27</v>
      </c>
      <c r="U498" s="33">
        <f t="shared" si="117"/>
        <v>0.22222222222222221</v>
      </c>
      <c r="W498" s="4">
        <v>80</v>
      </c>
      <c r="X498" s="4">
        <v>140</v>
      </c>
      <c r="Y498" s="4">
        <v>200</v>
      </c>
      <c r="AF498" s="4">
        <f t="shared" si="124"/>
        <v>0</v>
      </c>
      <c r="AL498" s="4">
        <f t="shared" si="118"/>
        <v>0</v>
      </c>
      <c r="BA498" s="4">
        <v>17.07</v>
      </c>
      <c r="BB498" s="4">
        <v>200</v>
      </c>
      <c r="BC498" s="4" t="s">
        <v>2913</v>
      </c>
      <c r="BD498" s="4" t="s">
        <v>2906</v>
      </c>
      <c r="BE498" s="4" t="s">
        <v>91</v>
      </c>
      <c r="BF498" s="4">
        <v>0.5</v>
      </c>
      <c r="BG498" s="4">
        <v>1</v>
      </c>
      <c r="BI498" s="4">
        <v>0.1</v>
      </c>
      <c r="BK498" s="4">
        <v>0.3</v>
      </c>
      <c r="BL498" s="4" t="s">
        <v>2915</v>
      </c>
      <c r="BM498" s="4" t="s">
        <v>2914</v>
      </c>
    </row>
    <row r="499" spans="4:65">
      <c r="D499" s="17" t="str">
        <f t="shared" si="120"/>
        <v>ErgänzungsfuttermittelKatzeAndere Supplemente</v>
      </c>
      <c r="E499" s="4" t="s">
        <v>91</v>
      </c>
      <c r="F499" s="19" t="s">
        <v>90</v>
      </c>
      <c r="G499" s="4" t="s">
        <v>93</v>
      </c>
      <c r="L499" s="4" t="s">
        <v>2923</v>
      </c>
      <c r="M499">
        <f t="shared" si="121"/>
        <v>0.3</v>
      </c>
      <c r="N499">
        <f t="shared" si="122"/>
        <v>1</v>
      </c>
      <c r="P499">
        <f t="shared" si="123"/>
        <v>0.4</v>
      </c>
      <c r="R499">
        <f t="shared" si="119"/>
        <v>0.1</v>
      </c>
      <c r="S499" s="4">
        <v>5</v>
      </c>
      <c r="T499" s="4">
        <v>3</v>
      </c>
      <c r="U499" s="33">
        <f t="shared" si="117"/>
        <v>1.6666666666666667</v>
      </c>
      <c r="W499" s="4">
        <v>40</v>
      </c>
      <c r="X499" s="4">
        <v>100</v>
      </c>
      <c r="Y499" s="4">
        <v>160</v>
      </c>
      <c r="AF499" s="4">
        <f t="shared" si="124"/>
        <v>0</v>
      </c>
      <c r="AL499" s="4">
        <f t="shared" si="118"/>
        <v>0</v>
      </c>
      <c r="AZ499" s="4">
        <v>80</v>
      </c>
      <c r="BA499" s="4">
        <v>25.86</v>
      </c>
      <c r="BB499" s="4">
        <v>200</v>
      </c>
      <c r="BC499" s="4" t="s">
        <v>2924</v>
      </c>
      <c r="BD499" s="4" t="s">
        <v>2906</v>
      </c>
      <c r="BE499" s="4" t="s">
        <v>91</v>
      </c>
      <c r="BF499" s="4">
        <v>0.3</v>
      </c>
      <c r="BG499" s="4">
        <v>1</v>
      </c>
      <c r="BI499" s="4">
        <v>0.4</v>
      </c>
      <c r="BK499" s="4">
        <v>0.1</v>
      </c>
      <c r="BL499" s="4" t="s">
        <v>2926</v>
      </c>
      <c r="BM499" s="4" t="s">
        <v>2925</v>
      </c>
    </row>
    <row r="500" spans="4:65">
      <c r="D500" s="17" t="str">
        <f t="shared" si="120"/>
        <v>ErgänzungsfuttermittelKatzeAndere Supplemente</v>
      </c>
      <c r="E500" s="4" t="s">
        <v>91</v>
      </c>
      <c r="F500" s="19" t="s">
        <v>90</v>
      </c>
      <c r="G500" s="4" t="s">
        <v>93</v>
      </c>
      <c r="L500" s="4" t="s">
        <v>2934</v>
      </c>
      <c r="M500">
        <f t="shared" si="121"/>
        <v>1.8</v>
      </c>
      <c r="N500">
        <f t="shared" si="122"/>
        <v>1.8</v>
      </c>
      <c r="P500">
        <f t="shared" si="123"/>
        <v>0.7</v>
      </c>
      <c r="R500">
        <f t="shared" si="119"/>
        <v>4.21</v>
      </c>
      <c r="U500" s="33" t="str">
        <f t="shared" si="117"/>
        <v/>
      </c>
      <c r="AF500" s="4">
        <f t="shared" si="124"/>
        <v>0</v>
      </c>
      <c r="AL500" s="4">
        <f t="shared" si="118"/>
        <v>0</v>
      </c>
      <c r="BC500" s="4" t="s">
        <v>2935</v>
      </c>
      <c r="BD500" s="4" t="s">
        <v>2906</v>
      </c>
      <c r="BE500" s="4" t="s">
        <v>91</v>
      </c>
      <c r="BF500" s="4">
        <v>1.8</v>
      </c>
      <c r="BG500" s="4">
        <v>1.8</v>
      </c>
      <c r="BI500" s="4">
        <v>0.7</v>
      </c>
      <c r="BK500" s="4">
        <v>4.21</v>
      </c>
      <c r="BL500" s="4" t="s">
        <v>2937</v>
      </c>
      <c r="BM500" s="4" t="s">
        <v>2936</v>
      </c>
    </row>
    <row r="501" spans="4:65">
      <c r="D501" s="17" t="str">
        <f t="shared" si="120"/>
        <v>ErgänzungsfuttermittelKatzeAndere Supplemente</v>
      </c>
      <c r="E501" s="4" t="s">
        <v>91</v>
      </c>
      <c r="F501" s="19" t="s">
        <v>90</v>
      </c>
      <c r="G501" s="4" t="s">
        <v>93</v>
      </c>
      <c r="L501" s="4" t="s">
        <v>2938</v>
      </c>
      <c r="M501">
        <f t="shared" si="121"/>
        <v>30</v>
      </c>
      <c r="N501">
        <f t="shared" si="122"/>
        <v>2.5</v>
      </c>
      <c r="P501">
        <f t="shared" si="123"/>
        <v>0</v>
      </c>
      <c r="R501">
        <f t="shared" si="119"/>
        <v>2.5</v>
      </c>
      <c r="U501" s="33" t="str">
        <f t="shared" si="117"/>
        <v/>
      </c>
      <c r="W501" s="4">
        <v>600</v>
      </c>
      <c r="X501" s="4">
        <v>2500</v>
      </c>
      <c r="AF501" s="4">
        <f t="shared" si="124"/>
        <v>0</v>
      </c>
      <c r="AL501" s="4">
        <f t="shared" si="118"/>
        <v>0</v>
      </c>
      <c r="BA501" s="4">
        <v>276.67</v>
      </c>
      <c r="BB501" s="4">
        <v>2</v>
      </c>
      <c r="BC501" s="4" t="s">
        <v>2938</v>
      </c>
      <c r="BD501" s="4" t="s">
        <v>2939</v>
      </c>
      <c r="BE501" s="4" t="s">
        <v>91</v>
      </c>
      <c r="BF501" s="4">
        <v>30</v>
      </c>
      <c r="BG501" s="4">
        <v>2.5</v>
      </c>
      <c r="BI501" s="4">
        <v>0</v>
      </c>
      <c r="BK501" s="4">
        <v>2.5</v>
      </c>
      <c r="BL501" s="4" t="s">
        <v>2941</v>
      </c>
      <c r="BM501" s="4" t="s">
        <v>2940</v>
      </c>
    </row>
    <row r="502" spans="4:65">
      <c r="D502" s="17" t="str">
        <f t="shared" si="120"/>
        <v>ErgänzungsfuttermittelKatzeAndere Supplemente</v>
      </c>
      <c r="E502" s="4" t="s">
        <v>91</v>
      </c>
      <c r="F502" s="19" t="s">
        <v>90</v>
      </c>
      <c r="G502" s="4" t="s">
        <v>93</v>
      </c>
      <c r="L502" s="4" t="s">
        <v>2951</v>
      </c>
      <c r="M502">
        <f t="shared" si="121"/>
        <v>0</v>
      </c>
      <c r="N502">
        <f t="shared" si="122"/>
        <v>0</v>
      </c>
      <c r="P502">
        <f t="shared" si="123"/>
        <v>0</v>
      </c>
      <c r="R502">
        <f t="shared" si="119"/>
        <v>0</v>
      </c>
      <c r="U502" s="33" t="str">
        <f t="shared" si="117"/>
        <v/>
      </c>
      <c r="AF502" s="4">
        <f t="shared" si="124"/>
        <v>0</v>
      </c>
      <c r="AL502" s="4">
        <f t="shared" si="118"/>
        <v>0</v>
      </c>
      <c r="BA502" s="4">
        <v>21.18</v>
      </c>
      <c r="BB502" s="4">
        <v>1.5</v>
      </c>
      <c r="BC502" s="4" t="s">
        <v>2951</v>
      </c>
      <c r="BD502" s="4" t="s">
        <v>956</v>
      </c>
      <c r="BE502" s="4" t="s">
        <v>91</v>
      </c>
      <c r="BL502" s="4" t="s">
        <v>2953</v>
      </c>
      <c r="BM502" s="4" t="s">
        <v>2952</v>
      </c>
    </row>
    <row r="503" spans="4:65">
      <c r="D503" s="17" t="str">
        <f t="shared" si="120"/>
        <v>ErgänzungsfuttermittelKatzeAndere Supplemente</v>
      </c>
      <c r="E503" s="4" t="s">
        <v>91</v>
      </c>
      <c r="F503" s="19" t="s">
        <v>90</v>
      </c>
      <c r="G503" s="4" t="s">
        <v>93</v>
      </c>
      <c r="L503" s="4" t="s">
        <v>2966</v>
      </c>
      <c r="M503">
        <f t="shared" si="121"/>
        <v>35.200000000000003</v>
      </c>
      <c r="N503">
        <f t="shared" si="122"/>
        <v>10.199999999999999</v>
      </c>
      <c r="P503">
        <f t="shared" si="123"/>
        <v>2</v>
      </c>
      <c r="R503">
        <f t="shared" si="119"/>
        <v>4.9000000000000004</v>
      </c>
      <c r="S503" s="4">
        <v>770</v>
      </c>
      <c r="T503" s="4">
        <v>170</v>
      </c>
      <c r="U503" s="33">
        <f t="shared" si="117"/>
        <v>4.5294117647058822</v>
      </c>
      <c r="AF503" s="4">
        <f t="shared" si="124"/>
        <v>0</v>
      </c>
      <c r="AL503" s="4">
        <f t="shared" si="118"/>
        <v>0</v>
      </c>
      <c r="BA503" s="4">
        <v>179.28</v>
      </c>
      <c r="BB503" s="4">
        <v>1.5</v>
      </c>
      <c r="BC503" s="4" t="s">
        <v>2966</v>
      </c>
      <c r="BD503" s="4" t="s">
        <v>956</v>
      </c>
      <c r="BE503" s="4" t="s">
        <v>91</v>
      </c>
      <c r="BF503" s="4">
        <v>35.200000000000003</v>
      </c>
      <c r="BG503" s="4">
        <v>10.199999999999999</v>
      </c>
      <c r="BI503" s="4">
        <v>2</v>
      </c>
      <c r="BK503" s="4">
        <v>4.9000000000000004</v>
      </c>
      <c r="BL503" s="4" t="s">
        <v>2968</v>
      </c>
      <c r="BM503" s="4" t="s">
        <v>2967</v>
      </c>
    </row>
    <row r="504" spans="4:65">
      <c r="D504" s="17" t="str">
        <f t="shared" si="120"/>
        <v>ErgänzungsfuttermittelKatzeAndere Supplemente</v>
      </c>
      <c r="E504" s="4" t="s">
        <v>91</v>
      </c>
      <c r="F504" s="19" t="s">
        <v>90</v>
      </c>
      <c r="G504" s="4" t="s">
        <v>93</v>
      </c>
      <c r="L504" s="4" t="s">
        <v>2969</v>
      </c>
      <c r="M504">
        <f t="shared" si="121"/>
        <v>0.7</v>
      </c>
      <c r="N504">
        <f t="shared" si="122"/>
        <v>0.3</v>
      </c>
      <c r="P504">
        <f t="shared" si="123"/>
        <v>0.2</v>
      </c>
      <c r="R504">
        <f t="shared" si="119"/>
        <v>1.4</v>
      </c>
      <c r="U504" s="33" t="str">
        <f t="shared" si="117"/>
        <v/>
      </c>
      <c r="AF504" s="4">
        <f t="shared" si="124"/>
        <v>0</v>
      </c>
      <c r="AL504" s="4">
        <f t="shared" si="118"/>
        <v>0</v>
      </c>
      <c r="BA504" s="4">
        <v>40.270000000000003</v>
      </c>
      <c r="BB504" s="4">
        <v>1.5</v>
      </c>
      <c r="BC504" s="4" t="s">
        <v>2969</v>
      </c>
      <c r="BD504" s="4" t="s">
        <v>956</v>
      </c>
      <c r="BE504" s="4" t="s">
        <v>91</v>
      </c>
      <c r="BF504" s="4">
        <v>0.7</v>
      </c>
      <c r="BG504" s="4">
        <v>0.3</v>
      </c>
      <c r="BI504" s="4">
        <v>0.2</v>
      </c>
      <c r="BK504" s="4">
        <v>1.4</v>
      </c>
      <c r="BL504" s="4" t="s">
        <v>2971</v>
      </c>
      <c r="BM504" s="4" t="s">
        <v>2970</v>
      </c>
    </row>
    <row r="505" spans="4:65">
      <c r="D505" s="17" t="str">
        <f t="shared" si="120"/>
        <v>ErgänzungsfuttermittelKatzeAndere Supplemente</v>
      </c>
      <c r="E505" s="4" t="s">
        <v>91</v>
      </c>
      <c r="F505" s="19" t="s">
        <v>90</v>
      </c>
      <c r="G505" s="4" t="s">
        <v>93</v>
      </c>
      <c r="L505" s="4" t="s">
        <v>2975</v>
      </c>
      <c r="M505">
        <f t="shared" si="121"/>
        <v>10.8</v>
      </c>
      <c r="N505">
        <f t="shared" si="122"/>
        <v>31.6</v>
      </c>
      <c r="P505">
        <f t="shared" si="123"/>
        <v>6.2</v>
      </c>
      <c r="R505">
        <f t="shared" si="119"/>
        <v>12.1</v>
      </c>
      <c r="S505" s="4">
        <v>1460</v>
      </c>
      <c r="T505" s="4">
        <v>490</v>
      </c>
      <c r="U505" s="33">
        <f t="shared" si="117"/>
        <v>2.9795918367346941</v>
      </c>
      <c r="X505" s="4">
        <v>410</v>
      </c>
      <c r="AF505" s="4">
        <f t="shared" si="124"/>
        <v>0</v>
      </c>
      <c r="AL505" s="4">
        <f t="shared" si="118"/>
        <v>0</v>
      </c>
      <c r="BA505" s="4">
        <v>93.12</v>
      </c>
      <c r="BB505" s="4">
        <v>0.5</v>
      </c>
      <c r="BC505" s="4" t="s">
        <v>2976</v>
      </c>
      <c r="BD505" s="4" t="s">
        <v>956</v>
      </c>
      <c r="BE505" s="4" t="s">
        <v>91</v>
      </c>
      <c r="BF505" s="4">
        <v>10.8</v>
      </c>
      <c r="BG505" s="4">
        <v>31.6</v>
      </c>
      <c r="BI505" s="4">
        <v>6.2</v>
      </c>
      <c r="BK505" s="4">
        <v>12.1</v>
      </c>
      <c r="BL505" s="4" t="s">
        <v>2977</v>
      </c>
      <c r="BM505" s="4" t="s">
        <v>2978</v>
      </c>
    </row>
    <row r="506" spans="4:65">
      <c r="D506" s="17" t="str">
        <f t="shared" si="120"/>
        <v>ErgänzungsfuttermittelKatzeAndere Supplemente</v>
      </c>
      <c r="E506" s="4" t="s">
        <v>91</v>
      </c>
      <c r="F506" s="19" t="s">
        <v>90</v>
      </c>
      <c r="G506" s="4" t="s">
        <v>93</v>
      </c>
      <c r="L506" s="4" t="s">
        <v>2985</v>
      </c>
      <c r="M506">
        <f t="shared" si="121"/>
        <v>6.4</v>
      </c>
      <c r="N506">
        <f t="shared" si="122"/>
        <v>9.5</v>
      </c>
      <c r="P506">
        <f t="shared" si="123"/>
        <v>4.4000000000000004</v>
      </c>
      <c r="R506">
        <f t="shared" si="119"/>
        <v>9.6999999999999993</v>
      </c>
      <c r="S506" s="4">
        <v>540</v>
      </c>
      <c r="T506" s="4">
        <v>320</v>
      </c>
      <c r="U506" s="33">
        <f t="shared" si="117"/>
        <v>1.6875</v>
      </c>
      <c r="V506" s="4">
        <v>180</v>
      </c>
      <c r="X506" s="4">
        <v>80</v>
      </c>
      <c r="AF506" s="4">
        <f t="shared" si="124"/>
        <v>0</v>
      </c>
      <c r="AL506" s="4">
        <f t="shared" si="118"/>
        <v>0</v>
      </c>
      <c r="BA506" s="4">
        <v>27.89</v>
      </c>
      <c r="BC506" s="4" t="s">
        <v>2985</v>
      </c>
      <c r="BD506" s="4" t="s">
        <v>956</v>
      </c>
      <c r="BE506" s="4" t="s">
        <v>91</v>
      </c>
      <c r="BF506" s="4">
        <v>6.4</v>
      </c>
      <c r="BG506" s="4">
        <v>9.5</v>
      </c>
      <c r="BI506" s="4">
        <v>4.4000000000000004</v>
      </c>
      <c r="BK506" s="4">
        <v>9.6999999999999993</v>
      </c>
      <c r="BL506" s="4" t="s">
        <v>2986</v>
      </c>
      <c r="BM506" s="4" t="s">
        <v>2987</v>
      </c>
    </row>
    <row r="507" spans="4:65">
      <c r="D507" s="17" t="str">
        <f t="shared" si="120"/>
        <v>ErgänzungsfuttermittelKatzeAndere Supplemente</v>
      </c>
      <c r="E507" s="4" t="s">
        <v>91</v>
      </c>
      <c r="F507" s="19" t="s">
        <v>90</v>
      </c>
      <c r="G507" s="4" t="s">
        <v>93</v>
      </c>
      <c r="L507" s="4" t="s">
        <v>2988</v>
      </c>
      <c r="M507">
        <f t="shared" si="121"/>
        <v>7</v>
      </c>
      <c r="N507">
        <f t="shared" si="122"/>
        <v>0</v>
      </c>
      <c r="P507">
        <f t="shared" si="123"/>
        <v>30</v>
      </c>
      <c r="R507">
        <f t="shared" si="119"/>
        <v>9</v>
      </c>
      <c r="U507" s="33" t="str">
        <f t="shared" si="117"/>
        <v/>
      </c>
      <c r="AF507" s="4">
        <f t="shared" si="124"/>
        <v>0</v>
      </c>
      <c r="AL507" s="4">
        <f t="shared" si="118"/>
        <v>0</v>
      </c>
      <c r="BA507" s="4">
        <v>14.89</v>
      </c>
      <c r="BB507" s="4">
        <v>1.2</v>
      </c>
      <c r="BC507" s="4" t="s">
        <v>2988</v>
      </c>
      <c r="BD507" s="4" t="s">
        <v>956</v>
      </c>
      <c r="BE507" s="4" t="s">
        <v>91</v>
      </c>
      <c r="BF507" s="4">
        <v>7</v>
      </c>
      <c r="BI507" s="4">
        <v>30</v>
      </c>
      <c r="BK507" s="4">
        <v>9</v>
      </c>
      <c r="BL507" s="4" t="s">
        <v>2990</v>
      </c>
      <c r="BM507" s="4" t="s">
        <v>2989</v>
      </c>
    </row>
    <row r="508" spans="4:65">
      <c r="D508" s="17" t="str">
        <f t="shared" si="120"/>
        <v>ErgänzungsfuttermittelKatzeAndere Supplemente</v>
      </c>
      <c r="E508" s="4" t="s">
        <v>91</v>
      </c>
      <c r="F508" s="19" t="s">
        <v>90</v>
      </c>
      <c r="G508" s="4" t="s">
        <v>93</v>
      </c>
      <c r="L508" s="4" t="s">
        <v>2997</v>
      </c>
      <c r="M508">
        <f t="shared" si="121"/>
        <v>0.4</v>
      </c>
      <c r="N508">
        <f t="shared" si="122"/>
        <v>0.3</v>
      </c>
      <c r="P508">
        <f t="shared" si="123"/>
        <v>0.2</v>
      </c>
      <c r="R508">
        <f t="shared" si="119"/>
        <v>0.5</v>
      </c>
      <c r="U508" s="33" t="str">
        <f t="shared" si="117"/>
        <v/>
      </c>
      <c r="AF508" s="4">
        <f t="shared" si="124"/>
        <v>0</v>
      </c>
      <c r="AL508" s="4">
        <f t="shared" si="118"/>
        <v>0</v>
      </c>
      <c r="BA508" s="4">
        <v>154.91999999999999</v>
      </c>
      <c r="BB508" s="4">
        <v>3</v>
      </c>
      <c r="BC508" s="4" t="s">
        <v>2997</v>
      </c>
      <c r="BD508" s="4" t="s">
        <v>956</v>
      </c>
      <c r="BE508" s="4" t="s">
        <v>91</v>
      </c>
      <c r="BF508" s="4">
        <v>0.4</v>
      </c>
      <c r="BG508" s="4">
        <v>0.3</v>
      </c>
      <c r="BI508" s="4">
        <v>0.2</v>
      </c>
      <c r="BK508" s="4">
        <v>0.5</v>
      </c>
      <c r="BL508" s="4" t="s">
        <v>2999</v>
      </c>
      <c r="BM508" s="4" t="s">
        <v>2998</v>
      </c>
    </row>
    <row r="509" spans="4:65">
      <c r="D509" s="17" t="str">
        <f t="shared" si="120"/>
        <v>ErgänzungsfuttermittelKatzeAndere Supplemente</v>
      </c>
      <c r="E509" s="4" t="s">
        <v>91</v>
      </c>
      <c r="F509" s="19" t="s">
        <v>90</v>
      </c>
      <c r="G509" s="4" t="s">
        <v>93</v>
      </c>
      <c r="L509" s="4" t="s">
        <v>3000</v>
      </c>
      <c r="M509">
        <f t="shared" si="121"/>
        <v>29.3</v>
      </c>
      <c r="N509">
        <f t="shared" si="122"/>
        <v>13.6</v>
      </c>
      <c r="P509">
        <f t="shared" si="123"/>
        <v>3.3</v>
      </c>
      <c r="R509">
        <f t="shared" si="119"/>
        <v>11.7</v>
      </c>
      <c r="S509" s="4">
        <v>7010</v>
      </c>
      <c r="T509" s="4">
        <v>290</v>
      </c>
      <c r="U509" s="33">
        <f t="shared" si="117"/>
        <v>24.172413793103448</v>
      </c>
      <c r="X509" s="4">
        <v>320</v>
      </c>
      <c r="AF509" s="4">
        <f t="shared" si="124"/>
        <v>0</v>
      </c>
      <c r="AL509" s="4">
        <f t="shared" si="118"/>
        <v>0</v>
      </c>
      <c r="BA509" s="4">
        <v>18.77</v>
      </c>
      <c r="BB509" s="4">
        <v>3</v>
      </c>
      <c r="BC509" s="4" t="s">
        <v>3000</v>
      </c>
      <c r="BD509" s="4" t="s">
        <v>956</v>
      </c>
      <c r="BE509" s="4" t="s">
        <v>91</v>
      </c>
      <c r="BF509" s="4">
        <v>29.3</v>
      </c>
      <c r="BG509" s="4">
        <v>13.6</v>
      </c>
      <c r="BI509" s="4">
        <v>3.3</v>
      </c>
      <c r="BK509" s="4">
        <v>11.7</v>
      </c>
      <c r="BL509" s="4" t="s">
        <v>3002</v>
      </c>
      <c r="BM509" s="4" t="s">
        <v>3001</v>
      </c>
    </row>
    <row r="510" spans="4:65">
      <c r="D510" s="17" t="str">
        <f t="shared" si="120"/>
        <v>ErgänzungsfuttermittelKatzeAndere Supplemente</v>
      </c>
      <c r="E510" s="4" t="s">
        <v>91</v>
      </c>
      <c r="F510" s="19" t="s">
        <v>90</v>
      </c>
      <c r="G510" s="4" t="s">
        <v>93</v>
      </c>
      <c r="L510" s="4" t="s">
        <v>954</v>
      </c>
      <c r="M510">
        <f t="shared" si="121"/>
        <v>5</v>
      </c>
      <c r="N510">
        <f t="shared" si="122"/>
        <v>10.4</v>
      </c>
      <c r="P510">
        <f t="shared" si="123"/>
        <v>8.9</v>
      </c>
      <c r="R510">
        <f t="shared" si="119"/>
        <v>19.8</v>
      </c>
      <c r="S510" s="4">
        <v>740</v>
      </c>
      <c r="T510" s="4">
        <v>260</v>
      </c>
      <c r="U510" s="33">
        <f t="shared" si="117"/>
        <v>2.8461538461538463</v>
      </c>
      <c r="X510" s="4">
        <v>50</v>
      </c>
      <c r="AF510" s="4">
        <f t="shared" si="124"/>
        <v>0</v>
      </c>
      <c r="AL510" s="4">
        <f t="shared" si="118"/>
        <v>0</v>
      </c>
      <c r="BA510" s="4">
        <v>12.84</v>
      </c>
      <c r="BB510" s="4">
        <v>0.6</v>
      </c>
      <c r="BC510" s="4" t="s">
        <v>3008</v>
      </c>
      <c r="BD510" s="4" t="s">
        <v>956</v>
      </c>
      <c r="BE510" s="4" t="s">
        <v>91</v>
      </c>
      <c r="BF510" s="4">
        <v>5</v>
      </c>
      <c r="BG510" s="4">
        <v>10.4</v>
      </c>
      <c r="BI510" s="4">
        <v>8.9</v>
      </c>
      <c r="BK510" s="4">
        <v>19.8</v>
      </c>
      <c r="BL510" s="4" t="s">
        <v>3009</v>
      </c>
      <c r="BM510" s="4" t="s">
        <v>3010</v>
      </c>
    </row>
    <row r="511" spans="4:65">
      <c r="D511" s="17" t="str">
        <f t="shared" si="120"/>
        <v>ErgänzungsfuttermittelKatzeAndere Supplemente</v>
      </c>
      <c r="E511" s="4" t="s">
        <v>91</v>
      </c>
      <c r="F511" s="19" t="s">
        <v>90</v>
      </c>
      <c r="G511" s="4" t="s">
        <v>93</v>
      </c>
      <c r="L511" s="4" t="s">
        <v>3011</v>
      </c>
      <c r="M511">
        <f t="shared" si="121"/>
        <v>10.8</v>
      </c>
      <c r="N511">
        <f t="shared" si="122"/>
        <v>27.5</v>
      </c>
      <c r="P511">
        <f t="shared" si="123"/>
        <v>6.3</v>
      </c>
      <c r="R511">
        <f t="shared" si="119"/>
        <v>13.5</v>
      </c>
      <c r="S511" s="4">
        <v>1130</v>
      </c>
      <c r="T511" s="4">
        <v>430</v>
      </c>
      <c r="U511" s="33">
        <f t="shared" si="117"/>
        <v>2.6279069767441858</v>
      </c>
      <c r="X511" s="4">
        <v>480</v>
      </c>
      <c r="AF511" s="4">
        <f t="shared" si="124"/>
        <v>0</v>
      </c>
      <c r="AL511" s="4">
        <f t="shared" si="118"/>
        <v>0</v>
      </c>
      <c r="BA511" s="4">
        <v>133.59</v>
      </c>
      <c r="BB511" s="4">
        <v>0.5</v>
      </c>
      <c r="BC511" s="4" t="s">
        <v>3011</v>
      </c>
      <c r="BD511" s="4" t="s">
        <v>956</v>
      </c>
      <c r="BE511" s="4" t="s">
        <v>91</v>
      </c>
      <c r="BF511" s="4">
        <v>10.8</v>
      </c>
      <c r="BG511" s="4">
        <v>27.5</v>
      </c>
      <c r="BI511" s="4">
        <v>6.3</v>
      </c>
      <c r="BK511" s="4">
        <v>13.5</v>
      </c>
      <c r="BL511" s="4" t="s">
        <v>3012</v>
      </c>
      <c r="BM511" s="4" t="s">
        <v>3013</v>
      </c>
    </row>
    <row r="512" spans="4:65">
      <c r="D512" s="17" t="str">
        <f t="shared" si="120"/>
        <v>ErgänzungsfuttermittelKatzeAndere Supplemente</v>
      </c>
      <c r="E512" s="4" t="s">
        <v>91</v>
      </c>
      <c r="F512" s="19" t="s">
        <v>90</v>
      </c>
      <c r="G512" s="4" t="s">
        <v>93</v>
      </c>
      <c r="L512" s="4" t="s">
        <v>3016</v>
      </c>
      <c r="M512">
        <f t="shared" si="121"/>
        <v>0.4</v>
      </c>
      <c r="N512">
        <f t="shared" si="122"/>
        <v>0.3</v>
      </c>
      <c r="P512">
        <f t="shared" si="123"/>
        <v>0.2</v>
      </c>
      <c r="R512">
        <f t="shared" si="119"/>
        <v>0.5</v>
      </c>
      <c r="U512" s="33" t="str">
        <f t="shared" si="117"/>
        <v/>
      </c>
      <c r="X512" s="4">
        <v>400</v>
      </c>
      <c r="AF512" s="4">
        <f t="shared" si="124"/>
        <v>0</v>
      </c>
      <c r="AL512" s="4">
        <f t="shared" si="118"/>
        <v>0</v>
      </c>
      <c r="BA512" s="4">
        <v>112.29</v>
      </c>
      <c r="BB512" s="4">
        <v>0.75</v>
      </c>
      <c r="BC512" s="4" t="s">
        <v>3016</v>
      </c>
      <c r="BD512" s="4" t="s">
        <v>956</v>
      </c>
      <c r="BE512" s="4" t="s">
        <v>91</v>
      </c>
      <c r="BF512" s="4">
        <v>0.4</v>
      </c>
      <c r="BG512" s="4">
        <v>0.3</v>
      </c>
      <c r="BI512" s="4">
        <v>0.2</v>
      </c>
      <c r="BK512" s="4">
        <v>0.5</v>
      </c>
      <c r="BL512" s="4" t="s">
        <v>3018</v>
      </c>
      <c r="BM512" s="4" t="s">
        <v>3017</v>
      </c>
    </row>
    <row r="513" spans="4:65">
      <c r="D513" s="17" t="str">
        <f t="shared" si="120"/>
        <v>ErgänzungsfuttermittelKatzeAndere Supplemente</v>
      </c>
      <c r="E513" s="4" t="s">
        <v>91</v>
      </c>
      <c r="F513" s="19" t="s">
        <v>90</v>
      </c>
      <c r="G513" s="4" t="s">
        <v>93</v>
      </c>
      <c r="L513" s="4" t="s">
        <v>3019</v>
      </c>
      <c r="M513">
        <f t="shared" si="121"/>
        <v>7.8</v>
      </c>
      <c r="N513">
        <f t="shared" si="122"/>
        <v>12.7</v>
      </c>
      <c r="P513">
        <f t="shared" si="123"/>
        <v>8.3000000000000007</v>
      </c>
      <c r="R513">
        <f t="shared" si="119"/>
        <v>15.5</v>
      </c>
      <c r="S513" s="4">
        <v>1120</v>
      </c>
      <c r="T513" s="4">
        <v>290</v>
      </c>
      <c r="U513" s="33">
        <f t="shared" si="117"/>
        <v>3.8620689655172415</v>
      </c>
      <c r="X513" s="4">
        <v>30</v>
      </c>
      <c r="AF513" s="4">
        <f t="shared" si="124"/>
        <v>0</v>
      </c>
      <c r="AL513" s="4">
        <f t="shared" si="118"/>
        <v>0</v>
      </c>
      <c r="BA513" s="4">
        <v>116.9</v>
      </c>
      <c r="BB513" s="4">
        <v>0.7</v>
      </c>
      <c r="BC513" s="4" t="s">
        <v>3019</v>
      </c>
      <c r="BD513" s="4" t="s">
        <v>956</v>
      </c>
      <c r="BE513" s="4" t="s">
        <v>91</v>
      </c>
      <c r="BF513" s="4">
        <v>7.8</v>
      </c>
      <c r="BG513" s="4">
        <v>12.7</v>
      </c>
      <c r="BI513" s="4">
        <v>8.3000000000000007</v>
      </c>
      <c r="BK513" s="4">
        <v>15.5</v>
      </c>
      <c r="BL513" s="4" t="s">
        <v>3021</v>
      </c>
      <c r="BM513" s="4" t="s">
        <v>3020</v>
      </c>
    </row>
    <row r="514" spans="4:65">
      <c r="D514" s="17" t="str">
        <f t="shared" si="120"/>
        <v>ErgänzungsfuttermittelKatzeAndere Supplemente</v>
      </c>
      <c r="E514" s="4" t="s">
        <v>91</v>
      </c>
      <c r="F514" s="19" t="s">
        <v>90</v>
      </c>
      <c r="G514" s="4" t="s">
        <v>93</v>
      </c>
      <c r="L514" s="4" t="s">
        <v>3022</v>
      </c>
      <c r="M514">
        <f t="shared" si="121"/>
        <v>18.600000000000001</v>
      </c>
      <c r="N514">
        <f t="shared" si="122"/>
        <v>14.5</v>
      </c>
      <c r="P514">
        <f t="shared" si="123"/>
        <v>1.6</v>
      </c>
      <c r="R514">
        <f t="shared" si="119"/>
        <v>25.1</v>
      </c>
      <c r="U514" s="33" t="str">
        <f t="shared" si="117"/>
        <v/>
      </c>
      <c r="AF514" s="4">
        <f t="shared" si="124"/>
        <v>0</v>
      </c>
      <c r="AL514" s="4">
        <f t="shared" si="118"/>
        <v>0</v>
      </c>
      <c r="BA514" s="4">
        <v>233.57</v>
      </c>
      <c r="BC514" s="4" t="s">
        <v>3023</v>
      </c>
      <c r="BD514" s="4" t="s">
        <v>956</v>
      </c>
      <c r="BE514" s="4" t="s">
        <v>91</v>
      </c>
      <c r="BF514" s="4">
        <v>18.600000000000001</v>
      </c>
      <c r="BG514" s="4">
        <v>14.5</v>
      </c>
      <c r="BI514" s="4">
        <v>1.6</v>
      </c>
      <c r="BK514" s="4">
        <v>25.1</v>
      </c>
      <c r="BL514" s="4" t="s">
        <v>3025</v>
      </c>
      <c r="BM514" s="4" t="s">
        <v>3024</v>
      </c>
    </row>
    <row r="515" spans="4:65">
      <c r="D515" s="17" t="str">
        <f t="shared" si="120"/>
        <v>ErgänzungsfuttermittelKatzeAndere Supplemente</v>
      </c>
      <c r="E515" s="4" t="s">
        <v>91</v>
      </c>
      <c r="F515" s="19" t="s">
        <v>90</v>
      </c>
      <c r="G515" s="4" t="s">
        <v>93</v>
      </c>
      <c r="L515" s="4" t="s">
        <v>3028</v>
      </c>
      <c r="M515">
        <f t="shared" si="121"/>
        <v>31.1</v>
      </c>
      <c r="N515">
        <f t="shared" si="122"/>
        <v>13.9</v>
      </c>
      <c r="P515">
        <f t="shared" si="123"/>
        <v>1.7</v>
      </c>
      <c r="R515">
        <f t="shared" si="119"/>
        <v>9.1999999999999993</v>
      </c>
      <c r="U515" s="33" t="str">
        <f t="shared" si="117"/>
        <v/>
      </c>
      <c r="AF515" s="4">
        <f t="shared" si="124"/>
        <v>0</v>
      </c>
      <c r="AL515" s="4">
        <f t="shared" si="118"/>
        <v>0</v>
      </c>
      <c r="BA515" s="4">
        <v>61.86</v>
      </c>
      <c r="BB515" s="4">
        <v>2.75</v>
      </c>
      <c r="BC515" s="4" t="s">
        <v>3028</v>
      </c>
      <c r="BD515" s="4" t="s">
        <v>956</v>
      </c>
      <c r="BE515" s="4" t="s">
        <v>91</v>
      </c>
      <c r="BF515" s="4">
        <v>31.1</v>
      </c>
      <c r="BG515" s="4">
        <v>13.9</v>
      </c>
      <c r="BI515" s="4">
        <v>1.7</v>
      </c>
      <c r="BK515" s="4">
        <v>9.1999999999999993</v>
      </c>
      <c r="BL515" s="4" t="s">
        <v>3030</v>
      </c>
      <c r="BM515" s="4" t="s">
        <v>3029</v>
      </c>
    </row>
    <row r="516" spans="4:65">
      <c r="D516" s="17" t="str">
        <f t="shared" si="120"/>
        <v>ErgänzungsfuttermittelKatzeAndere Supplemente</v>
      </c>
      <c r="E516" s="4" t="s">
        <v>91</v>
      </c>
      <c r="F516" s="19" t="s">
        <v>90</v>
      </c>
      <c r="G516" s="4" t="s">
        <v>93</v>
      </c>
      <c r="L516" s="4" t="s">
        <v>3031</v>
      </c>
      <c r="M516">
        <f t="shared" si="121"/>
        <v>5.4</v>
      </c>
      <c r="N516">
        <f t="shared" si="122"/>
        <v>31.2</v>
      </c>
      <c r="P516">
        <f t="shared" si="123"/>
        <v>15.4</v>
      </c>
      <c r="R516">
        <f t="shared" si="119"/>
        <v>11.5</v>
      </c>
      <c r="U516" s="33" t="str">
        <f t="shared" si="117"/>
        <v/>
      </c>
      <c r="AF516" s="4">
        <f t="shared" si="124"/>
        <v>0</v>
      </c>
      <c r="AL516" s="4">
        <f t="shared" si="118"/>
        <v>0</v>
      </c>
      <c r="BA516" s="4">
        <v>74.760000000000005</v>
      </c>
      <c r="BC516" s="4" t="s">
        <v>3031</v>
      </c>
      <c r="BD516" s="4" t="s">
        <v>956</v>
      </c>
      <c r="BE516" s="4" t="s">
        <v>91</v>
      </c>
      <c r="BF516" s="4">
        <v>5.4</v>
      </c>
      <c r="BG516" s="4">
        <v>31.2</v>
      </c>
      <c r="BI516" s="4">
        <v>15.4</v>
      </c>
      <c r="BK516" s="4">
        <v>11.5</v>
      </c>
      <c r="BL516" s="4" t="s">
        <v>3033</v>
      </c>
      <c r="BM516" s="4" t="s">
        <v>3032</v>
      </c>
    </row>
    <row r="517" spans="4:65">
      <c r="D517" s="17" t="str">
        <f t="shared" si="120"/>
        <v>ErgänzungsfuttermittelKatzeAndere Supplemente</v>
      </c>
      <c r="E517" s="4" t="s">
        <v>91</v>
      </c>
      <c r="F517" s="19" t="s">
        <v>90</v>
      </c>
      <c r="G517" s="4" t="s">
        <v>93</v>
      </c>
      <c r="L517" s="4" t="s">
        <v>3038</v>
      </c>
      <c r="M517">
        <f t="shared" si="121"/>
        <v>0</v>
      </c>
      <c r="N517">
        <f t="shared" si="122"/>
        <v>0</v>
      </c>
      <c r="P517">
        <f t="shared" si="123"/>
        <v>0</v>
      </c>
      <c r="R517">
        <f t="shared" si="119"/>
        <v>0</v>
      </c>
      <c r="U517" s="33" t="str">
        <f t="shared" ref="U517:U580" si="125">IF(S517="","",S517/T517)</f>
        <v/>
      </c>
      <c r="AF517" s="4">
        <f t="shared" si="124"/>
        <v>0</v>
      </c>
      <c r="AL517" s="4">
        <f t="shared" si="118"/>
        <v>0</v>
      </c>
      <c r="BA517" s="4">
        <v>192.48</v>
      </c>
      <c r="BC517" s="4" t="s">
        <v>3038</v>
      </c>
      <c r="BD517" s="4" t="s">
        <v>956</v>
      </c>
      <c r="BE517" s="4" t="s">
        <v>91</v>
      </c>
      <c r="BL517" s="4" t="s">
        <v>3040</v>
      </c>
      <c r="BM517" s="4" t="s">
        <v>3039</v>
      </c>
    </row>
    <row r="518" spans="4:65">
      <c r="D518" s="17" t="str">
        <f t="shared" si="120"/>
        <v>ErgänzungsfuttermittelKatzeAndere Supplemente</v>
      </c>
      <c r="E518" s="4" t="s">
        <v>91</v>
      </c>
      <c r="F518" s="19" t="s">
        <v>90</v>
      </c>
      <c r="G518" s="4" t="s">
        <v>93</v>
      </c>
      <c r="L518" s="4" t="s">
        <v>3045</v>
      </c>
      <c r="M518">
        <f t="shared" si="121"/>
        <v>8.6</v>
      </c>
      <c r="N518">
        <f t="shared" si="122"/>
        <v>7</v>
      </c>
      <c r="P518">
        <f t="shared" si="123"/>
        <v>5.8</v>
      </c>
      <c r="R518">
        <f t="shared" si="119"/>
        <v>23</v>
      </c>
      <c r="S518" s="4">
        <v>1210</v>
      </c>
      <c r="T518" s="4">
        <v>200</v>
      </c>
      <c r="U518" s="33">
        <f t="shared" si="125"/>
        <v>6.05</v>
      </c>
      <c r="AF518" s="4">
        <f t="shared" si="124"/>
        <v>0</v>
      </c>
      <c r="AL518" s="4">
        <f t="shared" si="118"/>
        <v>0</v>
      </c>
      <c r="BA518" s="4">
        <v>8.0299999999999994</v>
      </c>
      <c r="BC518" s="4" t="s">
        <v>3045</v>
      </c>
      <c r="BD518" s="4" t="s">
        <v>956</v>
      </c>
      <c r="BE518" s="4" t="s">
        <v>91</v>
      </c>
      <c r="BF518" s="4">
        <v>8.6</v>
      </c>
      <c r="BG518" s="4">
        <v>7</v>
      </c>
      <c r="BI518" s="4">
        <v>5.8</v>
      </c>
      <c r="BK518" s="4">
        <v>23</v>
      </c>
      <c r="BL518" s="4" t="s">
        <v>3047</v>
      </c>
      <c r="BM518" s="4" t="s">
        <v>3046</v>
      </c>
    </row>
    <row r="519" spans="4:65">
      <c r="D519" s="17" t="str">
        <f t="shared" si="120"/>
        <v>ErgänzungsfuttermittelKatzeAndere Supplemente</v>
      </c>
      <c r="E519" s="4" t="s">
        <v>91</v>
      </c>
      <c r="F519" s="19" t="s">
        <v>90</v>
      </c>
      <c r="G519" s="4" t="s">
        <v>93</v>
      </c>
      <c r="L519" s="4" t="s">
        <v>3048</v>
      </c>
      <c r="M519">
        <f t="shared" si="121"/>
        <v>10.3</v>
      </c>
      <c r="N519">
        <f t="shared" si="122"/>
        <v>11.2</v>
      </c>
      <c r="P519">
        <f t="shared" si="123"/>
        <v>4.3</v>
      </c>
      <c r="R519">
        <f t="shared" si="119"/>
        <v>17.8</v>
      </c>
      <c r="U519" s="33" t="str">
        <f t="shared" si="125"/>
        <v/>
      </c>
      <c r="AF519" s="4">
        <f t="shared" si="124"/>
        <v>0</v>
      </c>
      <c r="AL519" s="4">
        <f t="shared" si="118"/>
        <v>0</v>
      </c>
      <c r="BA519" s="4">
        <v>136.85</v>
      </c>
      <c r="BC519" s="4" t="s">
        <v>3048</v>
      </c>
      <c r="BD519" s="4" t="s">
        <v>956</v>
      </c>
      <c r="BE519" s="4" t="s">
        <v>91</v>
      </c>
      <c r="BF519" s="4">
        <v>10.3</v>
      </c>
      <c r="BG519" s="4">
        <v>11.2</v>
      </c>
      <c r="BI519" s="4">
        <v>4.3</v>
      </c>
      <c r="BK519" s="4">
        <v>17.8</v>
      </c>
      <c r="BL519" s="4" t="s">
        <v>3050</v>
      </c>
      <c r="BM519" s="4" t="s">
        <v>3049</v>
      </c>
    </row>
    <row r="520" spans="4:65">
      <c r="D520" s="17" t="str">
        <f t="shared" si="120"/>
        <v>ErgänzungsfuttermittelKatzeAndere Supplemente</v>
      </c>
      <c r="E520" s="4" t="s">
        <v>91</v>
      </c>
      <c r="F520" s="19" t="s">
        <v>90</v>
      </c>
      <c r="G520" s="4" t="s">
        <v>93</v>
      </c>
      <c r="L520" s="4" t="s">
        <v>3051</v>
      </c>
      <c r="M520">
        <f t="shared" si="121"/>
        <v>8.6</v>
      </c>
      <c r="N520">
        <f t="shared" si="122"/>
        <v>20.8</v>
      </c>
      <c r="P520">
        <f t="shared" si="123"/>
        <v>8.9</v>
      </c>
      <c r="R520">
        <f t="shared" si="119"/>
        <v>12.2</v>
      </c>
      <c r="U520" s="33" t="str">
        <f t="shared" si="125"/>
        <v/>
      </c>
      <c r="AF520" s="4">
        <f t="shared" si="124"/>
        <v>0</v>
      </c>
      <c r="AL520" s="4">
        <f t="shared" si="118"/>
        <v>0</v>
      </c>
      <c r="BA520" s="4">
        <v>34.409999999999997</v>
      </c>
      <c r="BB520" s="4">
        <v>2</v>
      </c>
      <c r="BC520" s="4" t="s">
        <v>3051</v>
      </c>
      <c r="BD520" s="4" t="s">
        <v>956</v>
      </c>
      <c r="BE520" s="4" t="s">
        <v>91</v>
      </c>
      <c r="BF520" s="4">
        <v>8.6</v>
      </c>
      <c r="BG520" s="4">
        <v>20.8</v>
      </c>
      <c r="BI520" s="4">
        <v>8.9</v>
      </c>
      <c r="BK520" s="4">
        <v>12.2</v>
      </c>
      <c r="BL520" s="4" t="s">
        <v>3053</v>
      </c>
      <c r="BM520" s="4" t="s">
        <v>3052</v>
      </c>
    </row>
    <row r="521" spans="4:65">
      <c r="D521" s="17" t="str">
        <f t="shared" si="120"/>
        <v>ErgänzungsfuttermittelKatzeAndere Supplemente</v>
      </c>
      <c r="E521" s="4" t="s">
        <v>91</v>
      </c>
      <c r="F521" s="19" t="s">
        <v>90</v>
      </c>
      <c r="G521" s="4" t="s">
        <v>93</v>
      </c>
      <c r="L521" s="4" t="s">
        <v>3054</v>
      </c>
      <c r="M521">
        <f t="shared" si="121"/>
        <v>34.5</v>
      </c>
      <c r="N521">
        <f t="shared" si="122"/>
        <v>13.7</v>
      </c>
      <c r="P521">
        <f t="shared" si="123"/>
        <v>4.4000000000000004</v>
      </c>
      <c r="R521">
        <f t="shared" si="119"/>
        <v>7.1</v>
      </c>
      <c r="S521" s="4">
        <v>790</v>
      </c>
      <c r="T521" s="4">
        <v>280</v>
      </c>
      <c r="U521" s="33">
        <f t="shared" si="125"/>
        <v>2.8214285714285716</v>
      </c>
      <c r="X521" s="4">
        <v>150</v>
      </c>
      <c r="AF521" s="4">
        <f t="shared" si="124"/>
        <v>0</v>
      </c>
      <c r="AL521" s="4">
        <f t="shared" si="118"/>
        <v>0</v>
      </c>
      <c r="BA521" s="4">
        <v>85.64</v>
      </c>
      <c r="BB521" s="4">
        <v>0.5</v>
      </c>
      <c r="BC521" s="4" t="s">
        <v>3054</v>
      </c>
      <c r="BD521" s="4" t="s">
        <v>956</v>
      </c>
      <c r="BE521" s="4" t="s">
        <v>91</v>
      </c>
      <c r="BF521" s="4">
        <v>34.5</v>
      </c>
      <c r="BG521" s="4">
        <v>13.7</v>
      </c>
      <c r="BI521" s="4">
        <v>4.4000000000000004</v>
      </c>
      <c r="BK521" s="4">
        <v>7.1</v>
      </c>
      <c r="BL521" s="4" t="s">
        <v>3056</v>
      </c>
      <c r="BM521" s="4" t="s">
        <v>3055</v>
      </c>
    </row>
    <row r="522" spans="4:65">
      <c r="D522" s="17" t="str">
        <f t="shared" si="120"/>
        <v>ErgänzungsfuttermittelKatzeAndere Supplemente</v>
      </c>
      <c r="E522" s="4" t="s">
        <v>91</v>
      </c>
      <c r="F522" s="19" t="s">
        <v>90</v>
      </c>
      <c r="G522" s="4" t="s">
        <v>93</v>
      </c>
      <c r="L522" s="4" t="s">
        <v>3065</v>
      </c>
      <c r="M522">
        <f t="shared" si="121"/>
        <v>3.4</v>
      </c>
      <c r="N522">
        <f t="shared" si="122"/>
        <v>11</v>
      </c>
      <c r="P522">
        <f t="shared" si="123"/>
        <v>6.1</v>
      </c>
      <c r="R522">
        <f t="shared" si="119"/>
        <v>25.9</v>
      </c>
      <c r="U522" s="33" t="str">
        <f t="shared" si="125"/>
        <v/>
      </c>
      <c r="AF522" s="4">
        <f t="shared" si="124"/>
        <v>0</v>
      </c>
      <c r="AL522" s="4">
        <f t="shared" ref="AL522:AL536" si="126">AK522*$BO$14</f>
        <v>0</v>
      </c>
      <c r="BA522" s="4">
        <v>19.059999999999999</v>
      </c>
      <c r="BC522" s="4" t="s">
        <v>3065</v>
      </c>
      <c r="BD522" s="4" t="s">
        <v>956</v>
      </c>
      <c r="BE522" s="4" t="s">
        <v>91</v>
      </c>
      <c r="BF522" s="4">
        <v>3.4</v>
      </c>
      <c r="BG522" s="4">
        <v>11</v>
      </c>
      <c r="BI522" s="4">
        <v>6.1</v>
      </c>
      <c r="BK522" s="4">
        <v>25.9</v>
      </c>
      <c r="BL522" s="4" t="s">
        <v>3067</v>
      </c>
      <c r="BM522" s="4" t="s">
        <v>3066</v>
      </c>
    </row>
    <row r="523" spans="4:65">
      <c r="D523" s="17" t="str">
        <f t="shared" si="120"/>
        <v>ErgänzungsfuttermittelKatzeAndere Supplemente</v>
      </c>
      <c r="E523" s="4" t="s">
        <v>91</v>
      </c>
      <c r="F523" s="19" t="s">
        <v>90</v>
      </c>
      <c r="G523" s="4" t="s">
        <v>93</v>
      </c>
      <c r="L523" s="4" t="s">
        <v>3103</v>
      </c>
      <c r="M523">
        <f t="shared" si="121"/>
        <v>15.9</v>
      </c>
      <c r="N523">
        <f t="shared" si="122"/>
        <v>36.1</v>
      </c>
      <c r="P523">
        <f t="shared" si="123"/>
        <v>16.8</v>
      </c>
      <c r="R523">
        <f t="shared" si="119"/>
        <v>2.9</v>
      </c>
      <c r="U523" s="33" t="str">
        <f t="shared" si="125"/>
        <v/>
      </c>
      <c r="AF523" s="4">
        <f t="shared" si="124"/>
        <v>0</v>
      </c>
      <c r="AL523" s="4">
        <f t="shared" si="126"/>
        <v>0</v>
      </c>
      <c r="BA523" s="4">
        <v>266.11</v>
      </c>
      <c r="BB523" s="4">
        <v>1.5</v>
      </c>
      <c r="BC523" s="4" t="s">
        <v>3103</v>
      </c>
      <c r="BD523" s="4" t="s">
        <v>3091</v>
      </c>
      <c r="BE523" s="4" t="s">
        <v>91</v>
      </c>
      <c r="BF523" s="4">
        <v>15.9</v>
      </c>
      <c r="BG523" s="4">
        <v>36.1</v>
      </c>
      <c r="BI523" s="4">
        <v>16.8</v>
      </c>
      <c r="BK523" s="4">
        <v>2.9</v>
      </c>
      <c r="BL523" s="4" t="s">
        <v>3105</v>
      </c>
      <c r="BM523" s="4" t="s">
        <v>3104</v>
      </c>
    </row>
    <row r="524" spans="4:65">
      <c r="D524" s="17" t="str">
        <f t="shared" si="120"/>
        <v>ErgänzungsfuttermittelKatzeAndere Supplemente</v>
      </c>
      <c r="E524" s="4" t="s">
        <v>91</v>
      </c>
      <c r="F524" s="19" t="s">
        <v>90</v>
      </c>
      <c r="G524" s="4" t="s">
        <v>93</v>
      </c>
      <c r="L524" s="4" t="s">
        <v>3130</v>
      </c>
      <c r="M524">
        <f t="shared" si="121"/>
        <v>6</v>
      </c>
      <c r="N524">
        <f t="shared" si="122"/>
        <v>44</v>
      </c>
      <c r="P524">
        <f t="shared" si="123"/>
        <v>7</v>
      </c>
      <c r="R524">
        <f t="shared" si="119"/>
        <v>2</v>
      </c>
      <c r="U524" s="33" t="str">
        <f t="shared" si="125"/>
        <v/>
      </c>
      <c r="AF524" s="4">
        <f t="shared" si="124"/>
        <v>0</v>
      </c>
      <c r="AL524" s="4">
        <f t="shared" si="126"/>
        <v>0</v>
      </c>
      <c r="BA524" s="4">
        <v>113.14</v>
      </c>
      <c r="BB524" s="4">
        <v>4</v>
      </c>
      <c r="BC524" s="4" t="s">
        <v>3130</v>
      </c>
      <c r="BD524" s="4" t="s">
        <v>100</v>
      </c>
      <c r="BE524" s="4" t="s">
        <v>91</v>
      </c>
      <c r="BF524" s="4">
        <v>6</v>
      </c>
      <c r="BG524" s="4">
        <v>44</v>
      </c>
      <c r="BI524" s="4">
        <v>7</v>
      </c>
      <c r="BK524" s="4">
        <v>2</v>
      </c>
      <c r="BL524" s="4" t="s">
        <v>3132</v>
      </c>
      <c r="BM524" s="4" t="s">
        <v>3131</v>
      </c>
    </row>
    <row r="525" spans="4:65">
      <c r="D525" s="17" t="str">
        <f t="shared" si="120"/>
        <v>ErgänzungsfuttermittelKatzeAndere Supplemente</v>
      </c>
      <c r="E525" s="4" t="s">
        <v>91</v>
      </c>
      <c r="F525" s="19" t="s">
        <v>90</v>
      </c>
      <c r="G525" s="4" t="s">
        <v>93</v>
      </c>
      <c r="L525" s="4" t="s">
        <v>3139</v>
      </c>
      <c r="M525">
        <f t="shared" si="121"/>
        <v>0.4</v>
      </c>
      <c r="N525">
        <f t="shared" si="122"/>
        <v>0.3</v>
      </c>
      <c r="P525">
        <f t="shared" si="123"/>
        <v>0</v>
      </c>
      <c r="R525">
        <f t="shared" si="119"/>
        <v>0</v>
      </c>
      <c r="U525" s="33" t="str">
        <f t="shared" si="125"/>
        <v/>
      </c>
      <c r="AF525" s="4">
        <f t="shared" si="124"/>
        <v>0</v>
      </c>
      <c r="AL525" s="4">
        <f t="shared" si="126"/>
        <v>0</v>
      </c>
      <c r="BA525" s="4">
        <v>161.49</v>
      </c>
      <c r="BB525" s="4">
        <v>2</v>
      </c>
      <c r="BC525" s="4" t="s">
        <v>3139</v>
      </c>
      <c r="BD525" s="4" t="s">
        <v>100</v>
      </c>
      <c r="BE525" s="4" t="s">
        <v>91</v>
      </c>
      <c r="BF525" s="4">
        <v>0.4</v>
      </c>
      <c r="BG525" s="4">
        <v>0.3</v>
      </c>
      <c r="BL525" s="4" t="s">
        <v>3141</v>
      </c>
      <c r="BM525" s="4" t="s">
        <v>3140</v>
      </c>
    </row>
    <row r="526" spans="4:65">
      <c r="D526" s="17" t="str">
        <f t="shared" si="120"/>
        <v>ErgänzungsfuttermittelKatzeAndere Supplemente</v>
      </c>
      <c r="E526" s="4" t="s">
        <v>91</v>
      </c>
      <c r="F526" s="19" t="s">
        <v>90</v>
      </c>
      <c r="G526" s="4" t="s">
        <v>93</v>
      </c>
      <c r="L526" s="4" t="s">
        <v>3142</v>
      </c>
      <c r="M526">
        <f t="shared" si="121"/>
        <v>1.3</v>
      </c>
      <c r="N526">
        <f t="shared" si="122"/>
        <v>8.4</v>
      </c>
      <c r="P526">
        <f t="shared" si="123"/>
        <v>15.6</v>
      </c>
      <c r="R526">
        <f t="shared" si="119"/>
        <v>1</v>
      </c>
      <c r="U526" s="33" t="str">
        <f t="shared" si="125"/>
        <v/>
      </c>
      <c r="AF526" s="4">
        <f t="shared" si="124"/>
        <v>0</v>
      </c>
      <c r="AL526" s="4">
        <f t="shared" si="126"/>
        <v>0</v>
      </c>
      <c r="AZ526" s="4">
        <v>500</v>
      </c>
      <c r="BA526" s="4">
        <v>77.73</v>
      </c>
      <c r="BC526" s="4" t="s">
        <v>3142</v>
      </c>
      <c r="BD526" s="4" t="s">
        <v>100</v>
      </c>
      <c r="BE526" s="4" t="s">
        <v>91</v>
      </c>
      <c r="BF526" s="4">
        <v>1.3</v>
      </c>
      <c r="BG526" s="4">
        <v>8.4</v>
      </c>
      <c r="BI526" s="4">
        <v>15.6</v>
      </c>
      <c r="BK526" s="4">
        <v>1</v>
      </c>
      <c r="BL526" s="4" t="s">
        <v>3143</v>
      </c>
      <c r="BM526" s="4" t="s">
        <v>3144</v>
      </c>
    </row>
    <row r="527" spans="4:65">
      <c r="D527" s="17" t="str">
        <f t="shared" si="120"/>
        <v>ErgänzungsfuttermittelKatzeAndere Supplemente</v>
      </c>
      <c r="E527" s="4" t="s">
        <v>91</v>
      </c>
      <c r="F527" s="19" t="s">
        <v>90</v>
      </c>
      <c r="G527" s="4" t="s">
        <v>93</v>
      </c>
      <c r="L527" s="4" t="s">
        <v>3148</v>
      </c>
      <c r="M527">
        <f t="shared" si="121"/>
        <v>19.8</v>
      </c>
      <c r="N527">
        <f t="shared" si="122"/>
        <v>18.5</v>
      </c>
      <c r="P527">
        <f t="shared" si="123"/>
        <v>9.5</v>
      </c>
      <c r="R527">
        <f t="shared" ref="R527:R538" si="127">BK527</f>
        <v>0.6</v>
      </c>
      <c r="U527" s="33" t="str">
        <f t="shared" si="125"/>
        <v/>
      </c>
      <c r="W527" s="4">
        <v>1000</v>
      </c>
      <c r="X527" s="4">
        <v>2200</v>
      </c>
      <c r="AF527" s="4">
        <f t="shared" si="124"/>
        <v>0</v>
      </c>
      <c r="AL527" s="4">
        <f t="shared" si="126"/>
        <v>0</v>
      </c>
      <c r="BA527" s="4">
        <v>342.8</v>
      </c>
      <c r="BC527" s="4" t="s">
        <v>3148</v>
      </c>
      <c r="BD527" s="4" t="s">
        <v>100</v>
      </c>
      <c r="BE527" s="4" t="s">
        <v>91</v>
      </c>
      <c r="BF527" s="4">
        <v>19.8</v>
      </c>
      <c r="BG527" s="4">
        <v>18.5</v>
      </c>
      <c r="BI527" s="4">
        <v>9.5</v>
      </c>
      <c r="BK527" s="4">
        <v>0.6</v>
      </c>
      <c r="BL527" s="4" t="s">
        <v>3149</v>
      </c>
      <c r="BM527" s="4" t="s">
        <v>3150</v>
      </c>
    </row>
    <row r="528" spans="4:65">
      <c r="D528" s="17" t="str">
        <f t="shared" si="120"/>
        <v>ErgänzungsfuttermittelKatzeAndere Supplemente</v>
      </c>
      <c r="E528" s="4" t="s">
        <v>91</v>
      </c>
      <c r="F528" s="19" t="s">
        <v>90</v>
      </c>
      <c r="G528" s="4" t="s">
        <v>93</v>
      </c>
      <c r="L528" s="4" t="s">
        <v>3174</v>
      </c>
      <c r="M528">
        <f t="shared" si="121"/>
        <v>12.5</v>
      </c>
      <c r="N528">
        <f t="shared" si="122"/>
        <v>29.1</v>
      </c>
      <c r="P528">
        <f t="shared" si="123"/>
        <v>12</v>
      </c>
      <c r="R528">
        <f t="shared" si="127"/>
        <v>1.7</v>
      </c>
      <c r="U528" s="33" t="str">
        <f t="shared" si="125"/>
        <v/>
      </c>
      <c r="X528" s="4">
        <v>930</v>
      </c>
      <c r="AF528" s="4">
        <f t="shared" si="124"/>
        <v>0</v>
      </c>
      <c r="AL528" s="4">
        <f t="shared" si="126"/>
        <v>0</v>
      </c>
      <c r="BA528" s="4">
        <v>177.8</v>
      </c>
      <c r="BB528" s="4">
        <v>2</v>
      </c>
      <c r="BC528" s="4" t="s">
        <v>3174</v>
      </c>
      <c r="BD528" s="4" t="s">
        <v>100</v>
      </c>
      <c r="BE528" s="4" t="s">
        <v>91</v>
      </c>
      <c r="BF528" s="4">
        <v>12.5</v>
      </c>
      <c r="BG528" s="4">
        <v>29.1</v>
      </c>
      <c r="BI528" s="4">
        <v>12</v>
      </c>
      <c r="BK528" s="4">
        <v>1.7</v>
      </c>
      <c r="BL528" s="4" t="s">
        <v>3176</v>
      </c>
      <c r="BM528" s="4" t="s">
        <v>3175</v>
      </c>
    </row>
    <row r="529" spans="4:65">
      <c r="D529" s="17" t="str">
        <f t="shared" ref="D529:D538" si="128">E529&amp;""&amp;F529&amp;""&amp;G529&amp;""&amp;H529</f>
        <v>ErgänzungsfuttermittelKatzeAndere Supplemente</v>
      </c>
      <c r="E529" s="4" t="s">
        <v>91</v>
      </c>
      <c r="F529" s="19" t="s">
        <v>90</v>
      </c>
      <c r="G529" s="4" t="s">
        <v>93</v>
      </c>
      <c r="L529" s="4" t="s">
        <v>3189</v>
      </c>
      <c r="M529">
        <f t="shared" ref="M529:M538" si="129">BF529</f>
        <v>0.2</v>
      </c>
      <c r="N529">
        <f t="shared" ref="N529:N538" si="130">BG529</f>
        <v>0.3</v>
      </c>
      <c r="P529">
        <f t="shared" ref="P529:P538" si="131">BI529</f>
        <v>0</v>
      </c>
      <c r="R529">
        <f t="shared" si="127"/>
        <v>0</v>
      </c>
      <c r="U529" s="33" t="str">
        <f t="shared" si="125"/>
        <v/>
      </c>
      <c r="AF529" s="4">
        <f t="shared" si="124"/>
        <v>0</v>
      </c>
      <c r="AL529" s="4">
        <f t="shared" si="126"/>
        <v>0</v>
      </c>
      <c r="BA529" s="4">
        <v>279.45</v>
      </c>
      <c r="BB529" s="4">
        <v>1</v>
      </c>
      <c r="BC529" s="4" t="s">
        <v>3189</v>
      </c>
      <c r="BD529" s="4" t="s">
        <v>100</v>
      </c>
      <c r="BE529" s="4" t="s">
        <v>91</v>
      </c>
      <c r="BF529" s="4">
        <v>0.2</v>
      </c>
      <c r="BG529" s="4">
        <v>0.3</v>
      </c>
      <c r="BI529" s="4">
        <v>0</v>
      </c>
      <c r="BK529" s="4">
        <v>0</v>
      </c>
      <c r="BL529" s="4" t="s">
        <v>3191</v>
      </c>
      <c r="BM529" s="4" t="s">
        <v>3190</v>
      </c>
    </row>
    <row r="530" spans="4:65">
      <c r="D530" s="17" t="str">
        <f t="shared" si="128"/>
        <v>ErgänzungsfuttermittelKatzeAndere Supplemente</v>
      </c>
      <c r="E530" s="4" t="s">
        <v>91</v>
      </c>
      <c r="F530" s="19" t="s">
        <v>90</v>
      </c>
      <c r="G530" s="4" t="s">
        <v>93</v>
      </c>
      <c r="L530" s="4" t="s">
        <v>3195</v>
      </c>
      <c r="M530">
        <f t="shared" si="129"/>
        <v>12.2</v>
      </c>
      <c r="N530">
        <f t="shared" si="130"/>
        <v>0.6</v>
      </c>
      <c r="P530">
        <f t="shared" si="131"/>
        <v>0.5</v>
      </c>
      <c r="R530">
        <f t="shared" si="127"/>
        <v>13.1</v>
      </c>
      <c r="U530" s="33" t="str">
        <f t="shared" si="125"/>
        <v/>
      </c>
      <c r="W530" s="4">
        <v>50</v>
      </c>
      <c r="X530" s="4">
        <v>10</v>
      </c>
      <c r="AF530" s="4">
        <f t="shared" si="124"/>
        <v>0</v>
      </c>
      <c r="AL530" s="4">
        <f t="shared" si="126"/>
        <v>0</v>
      </c>
      <c r="BA530" s="4">
        <v>600.70000000000005</v>
      </c>
      <c r="BB530" s="4">
        <v>15</v>
      </c>
      <c r="BC530" s="4" t="s">
        <v>3196</v>
      </c>
      <c r="BD530" s="4" t="s">
        <v>100</v>
      </c>
      <c r="BE530" s="4" t="s">
        <v>91</v>
      </c>
      <c r="BF530" s="4">
        <v>12.2</v>
      </c>
      <c r="BG530" s="4">
        <v>0.6</v>
      </c>
      <c r="BI530" s="4">
        <v>0.5</v>
      </c>
      <c r="BK530" s="4">
        <v>13.1</v>
      </c>
      <c r="BL530" s="4" t="s">
        <v>3198</v>
      </c>
      <c r="BM530" s="4" t="s">
        <v>3197</v>
      </c>
    </row>
    <row r="531" spans="4:65">
      <c r="D531" s="17" t="str">
        <f t="shared" si="128"/>
        <v>ErgänzungsfuttermittelKatzeAndere Supplemente</v>
      </c>
      <c r="E531" s="4" t="s">
        <v>91</v>
      </c>
      <c r="F531" s="19" t="s">
        <v>90</v>
      </c>
      <c r="G531" s="4" t="s">
        <v>93</v>
      </c>
      <c r="L531" s="4" t="s">
        <v>3199</v>
      </c>
      <c r="M531">
        <f t="shared" si="129"/>
        <v>1.7</v>
      </c>
      <c r="N531">
        <f t="shared" si="130"/>
        <v>0.6</v>
      </c>
      <c r="P531">
        <f t="shared" si="131"/>
        <v>0.5</v>
      </c>
      <c r="R531">
        <f t="shared" si="127"/>
        <v>13.3</v>
      </c>
      <c r="U531" s="33" t="str">
        <f t="shared" si="125"/>
        <v/>
      </c>
      <c r="W531" s="4">
        <v>40</v>
      </c>
      <c r="X531" s="4">
        <v>10</v>
      </c>
      <c r="AF531" s="4">
        <f t="shared" si="124"/>
        <v>0</v>
      </c>
      <c r="AL531" s="4">
        <f t="shared" si="126"/>
        <v>0</v>
      </c>
      <c r="BA531" s="4">
        <v>198.72</v>
      </c>
      <c r="BB531" s="4">
        <v>14</v>
      </c>
      <c r="BC531" s="4" t="s">
        <v>3200</v>
      </c>
      <c r="BD531" s="4" t="s">
        <v>100</v>
      </c>
      <c r="BE531" s="4" t="s">
        <v>91</v>
      </c>
      <c r="BF531" s="4">
        <v>1.7</v>
      </c>
      <c r="BG531" s="4">
        <v>0.6</v>
      </c>
      <c r="BI531" s="4">
        <v>0.5</v>
      </c>
      <c r="BK531" s="4">
        <v>13.3</v>
      </c>
      <c r="BL531" s="4" t="s">
        <v>3198</v>
      </c>
      <c r="BM531" s="4" t="s">
        <v>3201</v>
      </c>
    </row>
    <row r="532" spans="4:65">
      <c r="D532" s="17" t="str">
        <f t="shared" si="128"/>
        <v>ErgänzungsfuttermittelKatzeAndere Supplemente</v>
      </c>
      <c r="E532" s="4" t="str">
        <f t="shared" ref="E532:E538" si="132">BE532</f>
        <v>Ergänzungsfuttermittel</v>
      </c>
      <c r="F532" s="19" t="s">
        <v>90</v>
      </c>
      <c r="G532" s="4" t="s">
        <v>93</v>
      </c>
      <c r="I532" s="21"/>
      <c r="L532" s="4" t="s">
        <v>162</v>
      </c>
      <c r="M532">
        <f t="shared" si="129"/>
        <v>0.8</v>
      </c>
      <c r="N532">
        <f t="shared" si="130"/>
        <v>0.1</v>
      </c>
      <c r="P532">
        <f t="shared" si="131"/>
        <v>0.2</v>
      </c>
      <c r="Q532"/>
      <c r="R532">
        <f t="shared" si="127"/>
        <v>0.5</v>
      </c>
      <c r="U532" s="33" t="str">
        <f t="shared" si="125"/>
        <v/>
      </c>
      <c r="AB532" s="4">
        <v>40</v>
      </c>
      <c r="AF532" s="4">
        <f t="shared" si="124"/>
        <v>0</v>
      </c>
      <c r="AL532" s="4">
        <f t="shared" si="126"/>
        <v>0</v>
      </c>
      <c r="AS532" s="4">
        <v>33.299999999999997</v>
      </c>
      <c r="BA532" s="4">
        <v>210.2</v>
      </c>
      <c r="BB532" s="4">
        <v>3</v>
      </c>
      <c r="BC532" s="4" t="s">
        <v>163</v>
      </c>
      <c r="BD532" s="4" t="s">
        <v>105</v>
      </c>
      <c r="BE532" s="4" t="s">
        <v>91</v>
      </c>
      <c r="BF532" s="4">
        <v>0.8</v>
      </c>
      <c r="BG532" s="4">
        <v>0.1</v>
      </c>
      <c r="BI532" s="4">
        <v>0.2</v>
      </c>
      <c r="BK532" s="4">
        <v>0.5</v>
      </c>
      <c r="BL532" s="4" t="s">
        <v>164</v>
      </c>
      <c r="BM532" s="4" t="s">
        <v>165</v>
      </c>
    </row>
    <row r="533" spans="4:65">
      <c r="D533" s="17" t="str">
        <f t="shared" si="128"/>
        <v>ErgänzungsfuttermittelKatzeAndere Supplemente</v>
      </c>
      <c r="E533" s="4" t="str">
        <f t="shared" si="132"/>
        <v>Ergänzungsfuttermittel</v>
      </c>
      <c r="F533" s="19" t="s">
        <v>90</v>
      </c>
      <c r="G533" s="4" t="s">
        <v>93</v>
      </c>
      <c r="L533" s="4" t="s">
        <v>166</v>
      </c>
      <c r="M533">
        <f t="shared" si="129"/>
        <v>0.1</v>
      </c>
      <c r="N533">
        <f t="shared" si="130"/>
        <v>0.2</v>
      </c>
      <c r="P533">
        <f t="shared" si="131"/>
        <v>0.3</v>
      </c>
      <c r="Q533"/>
      <c r="R533">
        <f t="shared" si="127"/>
        <v>0.3</v>
      </c>
      <c r="U533" s="33" t="str">
        <f t="shared" si="125"/>
        <v/>
      </c>
      <c r="AF533" s="4">
        <f t="shared" si="124"/>
        <v>0</v>
      </c>
      <c r="AL533" s="4">
        <f t="shared" si="126"/>
        <v>0</v>
      </c>
      <c r="BA533" s="4">
        <v>594.66999999999996</v>
      </c>
      <c r="BB533" s="4">
        <v>0.67500000000000004</v>
      </c>
      <c r="BC533" s="4" t="s">
        <v>167</v>
      </c>
      <c r="BD533" s="4" t="s">
        <v>105</v>
      </c>
      <c r="BE533" s="4" t="s">
        <v>91</v>
      </c>
      <c r="BF533" s="4">
        <v>0.1</v>
      </c>
      <c r="BG533" s="4">
        <v>0.2</v>
      </c>
      <c r="BI533" s="4">
        <v>0.3</v>
      </c>
      <c r="BK533" s="4">
        <v>0.3</v>
      </c>
      <c r="BL533" s="4" t="s">
        <v>168</v>
      </c>
      <c r="BM533" s="4" t="s">
        <v>169</v>
      </c>
    </row>
    <row r="534" spans="4:65">
      <c r="D534" s="17" t="str">
        <f t="shared" si="128"/>
        <v>ErgänzungsfuttermittelKatzeAndere Supplemente</v>
      </c>
      <c r="E534" s="4" t="str">
        <f t="shared" si="132"/>
        <v>Ergänzungsfuttermittel</v>
      </c>
      <c r="F534" s="19" t="s">
        <v>90</v>
      </c>
      <c r="G534" s="4" t="s">
        <v>93</v>
      </c>
      <c r="L534" s="4" t="s">
        <v>170</v>
      </c>
      <c r="M534">
        <f t="shared" si="129"/>
        <v>1</v>
      </c>
      <c r="N534">
        <f t="shared" si="130"/>
        <v>4</v>
      </c>
      <c r="P534">
        <f t="shared" si="131"/>
        <v>0.5</v>
      </c>
      <c r="Q534"/>
      <c r="R534">
        <f t="shared" si="127"/>
        <v>0</v>
      </c>
      <c r="U534" s="33" t="str">
        <f t="shared" si="125"/>
        <v/>
      </c>
      <c r="W534" s="4">
        <v>200</v>
      </c>
      <c r="AF534" s="4">
        <f t="shared" si="124"/>
        <v>0</v>
      </c>
      <c r="AL534" s="4">
        <f t="shared" si="126"/>
        <v>0</v>
      </c>
      <c r="BA534" s="4">
        <v>198.12</v>
      </c>
      <c r="BB534" s="4">
        <v>4.5</v>
      </c>
      <c r="BC534" s="4" t="s">
        <v>171</v>
      </c>
      <c r="BD534" s="4" t="s">
        <v>105</v>
      </c>
      <c r="BE534" s="4" t="s">
        <v>91</v>
      </c>
      <c r="BF534" s="4">
        <v>1</v>
      </c>
      <c r="BG534" s="4">
        <v>4</v>
      </c>
      <c r="BI534" s="4">
        <v>0.5</v>
      </c>
      <c r="BK534" s="4">
        <v>0</v>
      </c>
      <c r="BL534" s="4" t="s">
        <v>172</v>
      </c>
      <c r="BM534" s="4" t="s">
        <v>173</v>
      </c>
    </row>
    <row r="535" spans="4:65">
      <c r="D535" s="17" t="str">
        <f t="shared" si="128"/>
        <v>ErgänzungsfuttermittelKatzeAndere Supplemente</v>
      </c>
      <c r="E535" s="4" t="str">
        <f t="shared" si="132"/>
        <v>Ergänzungsfuttermittel</v>
      </c>
      <c r="F535" s="19" t="s">
        <v>90</v>
      </c>
      <c r="G535" s="4" t="s">
        <v>93</v>
      </c>
      <c r="I535" s="21"/>
      <c r="L535" s="4" t="s">
        <v>184</v>
      </c>
      <c r="M535">
        <f t="shared" si="129"/>
        <v>0.2</v>
      </c>
      <c r="N535">
        <f t="shared" si="130"/>
        <v>0.5</v>
      </c>
      <c r="O535"/>
      <c r="P535">
        <f t="shared" si="131"/>
        <v>0.3</v>
      </c>
      <c r="Q535"/>
      <c r="R535">
        <f t="shared" si="127"/>
        <v>0.3</v>
      </c>
      <c r="U535" s="33" t="str">
        <f t="shared" si="125"/>
        <v/>
      </c>
      <c r="AF535" s="4">
        <f t="shared" si="124"/>
        <v>0</v>
      </c>
      <c r="AL535" s="4">
        <f t="shared" si="126"/>
        <v>0</v>
      </c>
      <c r="BA535" s="4">
        <v>483.33</v>
      </c>
      <c r="BB535" s="4">
        <v>0.375</v>
      </c>
      <c r="BC535" s="4" t="s">
        <v>185</v>
      </c>
      <c r="BD535" s="4" t="s">
        <v>105</v>
      </c>
      <c r="BE535" s="4" t="s">
        <v>91</v>
      </c>
      <c r="BF535" s="4">
        <v>0.2</v>
      </c>
      <c r="BG535" s="4">
        <v>0.5</v>
      </c>
      <c r="BI535" s="4">
        <v>0.3</v>
      </c>
      <c r="BK535" s="4">
        <v>0.3</v>
      </c>
      <c r="BL535" s="4" t="s">
        <v>187</v>
      </c>
      <c r="BM535" s="4" t="s">
        <v>186</v>
      </c>
    </row>
    <row r="536" spans="4:65">
      <c r="D536" s="17" t="str">
        <f t="shared" si="128"/>
        <v>ErgänzungsfuttermittelKatzeAndere Supplemente</v>
      </c>
      <c r="E536" s="4" t="str">
        <f t="shared" si="132"/>
        <v>Ergänzungsfuttermittel</v>
      </c>
      <c r="F536" s="19" t="s">
        <v>90</v>
      </c>
      <c r="G536" s="4" t="s">
        <v>93</v>
      </c>
      <c r="L536" s="4" t="s">
        <v>191</v>
      </c>
      <c r="M536">
        <f t="shared" si="129"/>
        <v>0.2</v>
      </c>
      <c r="N536">
        <f t="shared" si="130"/>
        <v>0.5</v>
      </c>
      <c r="O536"/>
      <c r="P536">
        <f t="shared" si="131"/>
        <v>0.3</v>
      </c>
      <c r="Q536"/>
      <c r="R536">
        <f t="shared" si="127"/>
        <v>0.3</v>
      </c>
      <c r="U536" s="33" t="str">
        <f t="shared" si="125"/>
        <v/>
      </c>
      <c r="AF536" s="4">
        <f>AG536*$BO$13</f>
        <v>0</v>
      </c>
      <c r="AL536" s="4">
        <f t="shared" si="126"/>
        <v>0</v>
      </c>
      <c r="BA536" s="4">
        <v>483.33</v>
      </c>
      <c r="BB536" s="4">
        <v>0.42499999999999999</v>
      </c>
      <c r="BC536" s="4" t="s">
        <v>188</v>
      </c>
      <c r="BD536" s="4" t="s">
        <v>105</v>
      </c>
      <c r="BE536" s="4" t="s">
        <v>91</v>
      </c>
      <c r="BF536" s="4">
        <v>0.2</v>
      </c>
      <c r="BG536" s="4">
        <v>0.5</v>
      </c>
      <c r="BI536" s="4">
        <v>0.3</v>
      </c>
      <c r="BK536" s="4">
        <v>0.3</v>
      </c>
      <c r="BL536" s="4" t="s">
        <v>189</v>
      </c>
      <c r="BM536" s="4" t="s">
        <v>190</v>
      </c>
    </row>
    <row r="537" spans="4:65">
      <c r="D537" s="17" t="str">
        <f t="shared" si="128"/>
        <v>ErgänzungsfuttermittelKatzeAndere Supplemente</v>
      </c>
      <c r="E537" s="4" t="str">
        <f t="shared" si="132"/>
        <v>Ergänzungsfuttermittel</v>
      </c>
      <c r="F537" s="19" t="s">
        <v>90</v>
      </c>
      <c r="G537" s="4" t="s">
        <v>93</v>
      </c>
      <c r="L537" s="4" t="s">
        <v>3245</v>
      </c>
      <c r="M537">
        <f t="shared" si="129"/>
        <v>8.1</v>
      </c>
      <c r="N537">
        <f t="shared" si="130"/>
        <v>19.3</v>
      </c>
      <c r="O537"/>
      <c r="P537">
        <f t="shared" si="131"/>
        <v>4.5</v>
      </c>
      <c r="Q537"/>
      <c r="R537">
        <f t="shared" si="127"/>
        <v>2.1</v>
      </c>
      <c r="U537" s="33" t="str">
        <f t="shared" si="125"/>
        <v/>
      </c>
      <c r="BA537" s="4">
        <v>145</v>
      </c>
      <c r="BC537" s="4" t="s">
        <v>3245</v>
      </c>
      <c r="BD537" s="4" t="s">
        <v>442</v>
      </c>
      <c r="BE537" s="4" t="s">
        <v>91</v>
      </c>
      <c r="BF537" s="4">
        <v>8.1</v>
      </c>
      <c r="BG537" s="4">
        <v>19.3</v>
      </c>
      <c r="BI537" s="4">
        <v>4.5</v>
      </c>
      <c r="BK537" s="4">
        <v>2.1</v>
      </c>
      <c r="BL537" s="4" t="s">
        <v>3246</v>
      </c>
      <c r="BM537" s="4" t="s">
        <v>3247</v>
      </c>
    </row>
    <row r="538" spans="4:65">
      <c r="D538" s="17" t="str">
        <f t="shared" si="128"/>
        <v>ErgänzungsfuttermittelKatzeAndere Supplemente</v>
      </c>
      <c r="E538" s="4" t="str">
        <f t="shared" si="132"/>
        <v>Ergänzungsfuttermittel</v>
      </c>
      <c r="F538" s="19" t="s">
        <v>90</v>
      </c>
      <c r="G538" s="4" t="s">
        <v>93</v>
      </c>
      <c r="L538" s="4" t="s">
        <v>3251</v>
      </c>
      <c r="M538">
        <f t="shared" si="129"/>
        <v>12.5</v>
      </c>
      <c r="N538">
        <f t="shared" si="130"/>
        <v>24</v>
      </c>
      <c r="O538"/>
      <c r="P538">
        <f t="shared" si="131"/>
        <v>2.5</v>
      </c>
      <c r="Q538"/>
      <c r="R538">
        <f t="shared" si="127"/>
        <v>3</v>
      </c>
      <c r="U538" s="33" t="str">
        <f t="shared" si="125"/>
        <v/>
      </c>
      <c r="BA538" s="4">
        <v>154.13999999999999</v>
      </c>
      <c r="BB538" s="4">
        <v>0.5</v>
      </c>
      <c r="BC538" s="4" t="s">
        <v>3251</v>
      </c>
      <c r="BD538" s="4" t="s">
        <v>442</v>
      </c>
      <c r="BE538" s="4" t="s">
        <v>91</v>
      </c>
      <c r="BF538" s="4">
        <v>12.5</v>
      </c>
      <c r="BG538" s="4">
        <v>24</v>
      </c>
      <c r="BI538" s="4">
        <v>2.5</v>
      </c>
      <c r="BK538" s="4">
        <v>3</v>
      </c>
      <c r="BL538" s="4" t="s">
        <v>3253</v>
      </c>
      <c r="BM538" s="4" t="s">
        <v>3252</v>
      </c>
    </row>
    <row r="539" spans="4:65">
      <c r="D539" s="17"/>
      <c r="F539" s="19"/>
      <c r="U539" s="33" t="str">
        <f t="shared" si="125"/>
        <v/>
      </c>
      <c r="AF539" s="4">
        <f t="shared" ref="AF539:AF570" si="133">AG539*$BO$13</f>
        <v>0</v>
      </c>
      <c r="AL539" s="4">
        <f t="shared" ref="AL539:AL586" si="134">AK539*$BO$14</f>
        <v>0</v>
      </c>
    </row>
    <row r="540" spans="4:65">
      <c r="D540" s="17" t="str">
        <f t="shared" ref="D540:D547" si="135">E540&amp;""&amp;F540&amp;""&amp;G540&amp;""&amp;H540</f>
        <v>ErgänzungsfuttermittelKatzeAufzuchtmilch/Katzenmilch</v>
      </c>
      <c r="E540" s="4" t="s">
        <v>91</v>
      </c>
      <c r="F540" s="19" t="s">
        <v>90</v>
      </c>
      <c r="G540" s="4" t="s">
        <v>2903</v>
      </c>
      <c r="L540" s="4" t="s">
        <v>626</v>
      </c>
      <c r="M540">
        <f t="shared" ref="M540:N547" si="136">BF540</f>
        <v>0.1</v>
      </c>
      <c r="N540">
        <f t="shared" si="136"/>
        <v>3.3</v>
      </c>
      <c r="P540">
        <f t="shared" ref="P540:P547" si="137">BI540</f>
        <v>3.5</v>
      </c>
      <c r="R540">
        <f t="shared" ref="R540:R547" si="138">BK540</f>
        <v>0.5</v>
      </c>
      <c r="U540" s="33" t="str">
        <f t="shared" si="125"/>
        <v/>
      </c>
      <c r="AF540" s="4">
        <f t="shared" si="133"/>
        <v>0</v>
      </c>
      <c r="AL540" s="4">
        <f t="shared" si="134"/>
        <v>0</v>
      </c>
      <c r="BA540" s="21">
        <v>7.14</v>
      </c>
      <c r="BC540" s="4" t="s">
        <v>625</v>
      </c>
      <c r="BD540" s="4" t="s">
        <v>578</v>
      </c>
      <c r="BE540" s="4" t="s">
        <v>91</v>
      </c>
      <c r="BF540" s="4">
        <v>0.1</v>
      </c>
      <c r="BG540" s="4">
        <v>3.3</v>
      </c>
      <c r="BI540" s="4">
        <v>3.5</v>
      </c>
      <c r="BK540" s="4">
        <v>0.5</v>
      </c>
      <c r="BL540" s="4" t="s">
        <v>624</v>
      </c>
      <c r="BM540" s="30" t="s">
        <v>623</v>
      </c>
    </row>
    <row r="541" spans="4:65">
      <c r="D541" s="17" t="str">
        <f t="shared" si="135"/>
        <v>ErgänzungsfuttermittelKatzeAufzuchtmilch/Katzenmilch</v>
      </c>
      <c r="E541" s="4" t="s">
        <v>91</v>
      </c>
      <c r="F541" s="19" t="s">
        <v>90</v>
      </c>
      <c r="G541" s="4" t="s">
        <v>2903</v>
      </c>
      <c r="I541" s="18"/>
      <c r="L541" s="4" t="s">
        <v>694</v>
      </c>
      <c r="M541">
        <f t="shared" si="136"/>
        <v>7</v>
      </c>
      <c r="N541">
        <f t="shared" si="136"/>
        <v>32</v>
      </c>
      <c r="P541">
        <f t="shared" si="137"/>
        <v>24</v>
      </c>
      <c r="R541">
        <f t="shared" si="138"/>
        <v>0</v>
      </c>
      <c r="S541" s="4">
        <v>800</v>
      </c>
      <c r="T541" s="4">
        <v>700</v>
      </c>
      <c r="U541" s="33">
        <f t="shared" si="125"/>
        <v>1.1428571428571428</v>
      </c>
      <c r="V541" s="4">
        <v>160</v>
      </c>
      <c r="W541" s="4">
        <v>1500</v>
      </c>
      <c r="X541" s="4">
        <v>500</v>
      </c>
      <c r="Z541" s="4">
        <v>7.98</v>
      </c>
      <c r="AB541" s="4">
        <v>4.99</v>
      </c>
      <c r="AC541" s="4">
        <v>2.99</v>
      </c>
      <c r="AE541" s="4">
        <v>19.899999999999999</v>
      </c>
      <c r="AF541" s="4">
        <f t="shared" si="133"/>
        <v>747</v>
      </c>
      <c r="AG541" s="4">
        <v>2490</v>
      </c>
      <c r="AK541" s="4">
        <v>200</v>
      </c>
      <c r="AL541" s="4">
        <f t="shared" si="134"/>
        <v>5</v>
      </c>
      <c r="AN541" s="4">
        <v>21</v>
      </c>
      <c r="AO541" s="4">
        <v>0.5</v>
      </c>
      <c r="AP541" s="4">
        <v>0.3</v>
      </c>
      <c r="AQ541" s="4">
        <v>0.3</v>
      </c>
      <c r="AR541" s="4">
        <v>6</v>
      </c>
      <c r="AS541" s="4">
        <v>5</v>
      </c>
      <c r="AT541" s="4">
        <v>2</v>
      </c>
      <c r="AU541" s="4">
        <v>1</v>
      </c>
      <c r="AW541" s="4">
        <v>62</v>
      </c>
      <c r="AX541" s="4">
        <v>0.3</v>
      </c>
      <c r="AZ541" s="4">
        <v>300</v>
      </c>
      <c r="BA541" s="4">
        <v>7.98</v>
      </c>
      <c r="BC541" s="4" t="s">
        <v>692</v>
      </c>
      <c r="BD541" s="4" t="s">
        <v>680</v>
      </c>
      <c r="BE541" s="4" t="s">
        <v>91</v>
      </c>
      <c r="BF541" s="4">
        <v>7</v>
      </c>
      <c r="BG541" s="4">
        <v>32</v>
      </c>
      <c r="BI541" s="4">
        <v>24</v>
      </c>
      <c r="BK541" s="4">
        <v>0</v>
      </c>
      <c r="BL541" s="4" t="s">
        <v>693</v>
      </c>
      <c r="BM541" s="4" t="s">
        <v>691</v>
      </c>
    </row>
    <row r="542" spans="4:65">
      <c r="D542" s="17" t="str">
        <f t="shared" si="135"/>
        <v>ErgänzungsfuttermittelKatzeAufzuchtmilch/Katzenmilch</v>
      </c>
      <c r="E542" s="4" t="s">
        <v>91</v>
      </c>
      <c r="F542" s="19" t="s">
        <v>90</v>
      </c>
      <c r="G542" s="4" t="s">
        <v>2903</v>
      </c>
      <c r="L542" s="4" t="s">
        <v>772</v>
      </c>
      <c r="M542">
        <f t="shared" si="136"/>
        <v>9.6999999999999993</v>
      </c>
      <c r="N542">
        <f t="shared" si="136"/>
        <v>30</v>
      </c>
      <c r="P542">
        <f t="shared" si="137"/>
        <v>30.2</v>
      </c>
      <c r="R542">
        <f t="shared" si="138"/>
        <v>0.2</v>
      </c>
      <c r="S542" s="4">
        <v>1200</v>
      </c>
      <c r="T542" s="4">
        <v>1000</v>
      </c>
      <c r="U542" s="33">
        <f t="shared" si="125"/>
        <v>1.2</v>
      </c>
      <c r="X542" s="4">
        <v>1500</v>
      </c>
      <c r="Z542" s="4">
        <v>5</v>
      </c>
      <c r="AA542" s="4">
        <v>1.5</v>
      </c>
      <c r="AB542" s="4">
        <v>2</v>
      </c>
      <c r="AD542" s="4">
        <v>3000</v>
      </c>
      <c r="AE542" s="4">
        <v>300</v>
      </c>
      <c r="AF542" s="4">
        <f t="shared" si="133"/>
        <v>45</v>
      </c>
      <c r="AG542" s="4">
        <v>150</v>
      </c>
      <c r="AL542" s="4">
        <f t="shared" si="134"/>
        <v>0</v>
      </c>
      <c r="AN542" s="4">
        <v>15</v>
      </c>
      <c r="AO542" s="4">
        <v>0.5</v>
      </c>
      <c r="AR542" s="4">
        <v>5</v>
      </c>
      <c r="AS542" s="4">
        <v>50</v>
      </c>
      <c r="AT542" s="4">
        <v>2</v>
      </c>
      <c r="AU542" s="4">
        <v>2</v>
      </c>
      <c r="AV542" s="4">
        <v>1000</v>
      </c>
      <c r="AW542" s="4">
        <v>5</v>
      </c>
      <c r="AY542" s="4">
        <v>125</v>
      </c>
      <c r="AZ542" s="4">
        <v>10</v>
      </c>
      <c r="BA542" s="4">
        <v>33.5</v>
      </c>
      <c r="BC542" s="4" t="s">
        <v>772</v>
      </c>
      <c r="BD542" s="4" t="s">
        <v>703</v>
      </c>
      <c r="BE542" s="4" t="s">
        <v>91</v>
      </c>
      <c r="BF542" s="4">
        <v>9.6999999999999993</v>
      </c>
      <c r="BG542" s="4">
        <v>30</v>
      </c>
      <c r="BI542" s="4">
        <v>30.2</v>
      </c>
      <c r="BK542" s="4">
        <v>0.2</v>
      </c>
      <c r="BL542" s="4" t="s">
        <v>774</v>
      </c>
      <c r="BM542" s="4" t="s">
        <v>773</v>
      </c>
    </row>
    <row r="543" spans="4:65">
      <c r="D543" s="17" t="str">
        <f t="shared" si="135"/>
        <v>ErgänzungsfuttermittelKatzeAufzuchtmilch/Katzenmilch</v>
      </c>
      <c r="E543" s="4" t="s">
        <v>91</v>
      </c>
      <c r="F543" s="19" t="s">
        <v>90</v>
      </c>
      <c r="G543" s="4" t="s">
        <v>2903</v>
      </c>
      <c r="L543" s="4" t="s">
        <v>1368</v>
      </c>
      <c r="M543">
        <f t="shared" si="136"/>
        <v>7.5</v>
      </c>
      <c r="N543">
        <f t="shared" si="136"/>
        <v>35</v>
      </c>
      <c r="P543">
        <f t="shared" si="137"/>
        <v>37.799999999999997</v>
      </c>
      <c r="R543">
        <f t="shared" si="138"/>
        <v>0.1</v>
      </c>
      <c r="S543" s="4">
        <v>1000</v>
      </c>
      <c r="T543" s="4">
        <v>500</v>
      </c>
      <c r="U543" s="33">
        <f t="shared" si="125"/>
        <v>2</v>
      </c>
      <c r="V543" s="4">
        <v>100</v>
      </c>
      <c r="W543" s="4">
        <v>400</v>
      </c>
      <c r="X543" s="4">
        <v>300</v>
      </c>
      <c r="AF543" s="4">
        <f t="shared" si="133"/>
        <v>0</v>
      </c>
      <c r="AL543" s="4">
        <f t="shared" si="134"/>
        <v>0</v>
      </c>
      <c r="BA543" s="4">
        <v>59.33</v>
      </c>
      <c r="BC543" s="4" t="s">
        <v>1369</v>
      </c>
      <c r="BD543" s="4" t="s">
        <v>1285</v>
      </c>
      <c r="BE543" s="4" t="s">
        <v>91</v>
      </c>
      <c r="BF543" s="4">
        <v>7.5</v>
      </c>
      <c r="BG543" s="4">
        <v>35</v>
      </c>
      <c r="BI543" s="4">
        <v>37.799999999999997</v>
      </c>
      <c r="BK543" s="4">
        <v>0.1</v>
      </c>
      <c r="BL543" s="4" t="s">
        <v>1371</v>
      </c>
      <c r="BM543" s="4" t="s">
        <v>1370</v>
      </c>
    </row>
    <row r="544" spans="4:65">
      <c r="D544" s="17" t="str">
        <f t="shared" si="135"/>
        <v>ErgänzungsfuttermittelKatzeAufzuchtmilch/Katzenmilch</v>
      </c>
      <c r="E544" s="4" t="s">
        <v>91</v>
      </c>
      <c r="F544" s="19" t="s">
        <v>90</v>
      </c>
      <c r="G544" s="4" t="s">
        <v>2903</v>
      </c>
      <c r="I544" s="18"/>
      <c r="L544" s="4" t="s">
        <v>1369</v>
      </c>
      <c r="M544">
        <f t="shared" si="136"/>
        <v>8</v>
      </c>
      <c r="N544">
        <f t="shared" si="136"/>
        <v>22</v>
      </c>
      <c r="P544">
        <f t="shared" si="137"/>
        <v>20</v>
      </c>
      <c r="R544">
        <f t="shared" si="138"/>
        <v>0.1</v>
      </c>
      <c r="S544" s="4">
        <v>1000</v>
      </c>
      <c r="T544" s="4">
        <v>700</v>
      </c>
      <c r="U544" s="33">
        <f t="shared" si="125"/>
        <v>1.4285714285714286</v>
      </c>
      <c r="X544" s="4">
        <v>500</v>
      </c>
      <c r="Z544" s="4">
        <v>10</v>
      </c>
      <c r="AA544" s="4">
        <v>0.8</v>
      </c>
      <c r="AB544" s="4">
        <v>4.5</v>
      </c>
      <c r="AC544" s="4">
        <v>3</v>
      </c>
      <c r="AD544" s="4">
        <v>20</v>
      </c>
      <c r="AE544" s="4">
        <v>20</v>
      </c>
      <c r="AF544" s="4">
        <f t="shared" si="133"/>
        <v>750</v>
      </c>
      <c r="AG544" s="4">
        <v>2500</v>
      </c>
      <c r="AK544" s="4">
        <v>400</v>
      </c>
      <c r="AL544" s="4">
        <f t="shared" si="134"/>
        <v>10</v>
      </c>
      <c r="AN544" s="4">
        <v>20</v>
      </c>
      <c r="AW544" s="4">
        <v>30</v>
      </c>
      <c r="BA544" s="4">
        <v>26.87</v>
      </c>
      <c r="BC544" s="4" t="s">
        <v>1369</v>
      </c>
      <c r="BD544" s="4" t="s">
        <v>1769</v>
      </c>
      <c r="BE544" s="4" t="s">
        <v>91</v>
      </c>
      <c r="BF544" s="4">
        <v>8</v>
      </c>
      <c r="BG544" s="4">
        <v>22</v>
      </c>
      <c r="BI544" s="4">
        <v>20</v>
      </c>
      <c r="BK544" s="4">
        <v>0.1</v>
      </c>
      <c r="BL544" s="4" t="s">
        <v>1804</v>
      </c>
      <c r="BM544" s="30" t="s">
        <v>1803</v>
      </c>
    </row>
    <row r="545" spans="4:65">
      <c r="D545" s="17" t="str">
        <f t="shared" si="135"/>
        <v>ErgänzungsfuttermittelKatzeAufzuchtmilch/Katzenmilch</v>
      </c>
      <c r="E545" s="4" t="s">
        <v>91</v>
      </c>
      <c r="F545" s="19" t="s">
        <v>90</v>
      </c>
      <c r="G545" s="4" t="s">
        <v>2903</v>
      </c>
      <c r="L545" s="4" t="s">
        <v>2662</v>
      </c>
      <c r="M545">
        <f t="shared" si="136"/>
        <v>6.5</v>
      </c>
      <c r="N545">
        <f t="shared" si="136"/>
        <v>28.2</v>
      </c>
      <c r="P545">
        <f t="shared" si="137"/>
        <v>30.4</v>
      </c>
      <c r="R545">
        <f t="shared" si="138"/>
        <v>1</v>
      </c>
      <c r="S545" s="4">
        <v>1000</v>
      </c>
      <c r="T545" s="4">
        <v>700</v>
      </c>
      <c r="U545" s="33">
        <f t="shared" si="125"/>
        <v>1.4285714285714286</v>
      </c>
      <c r="X545" s="4">
        <v>600</v>
      </c>
      <c r="Z545" s="4">
        <v>6</v>
      </c>
      <c r="AB545" s="4">
        <v>6</v>
      </c>
      <c r="AC545" s="4">
        <v>5</v>
      </c>
      <c r="AD545" s="4">
        <v>100</v>
      </c>
      <c r="AE545" s="4">
        <v>36</v>
      </c>
      <c r="AF545" s="4">
        <f t="shared" si="133"/>
        <v>339</v>
      </c>
      <c r="AG545" s="4">
        <v>1130</v>
      </c>
      <c r="AK545" s="4">
        <v>200</v>
      </c>
      <c r="AL545" s="4">
        <f t="shared" si="134"/>
        <v>5</v>
      </c>
      <c r="AN545" s="4">
        <v>4</v>
      </c>
      <c r="AO545" s="4">
        <v>0.38</v>
      </c>
      <c r="AR545" s="4">
        <v>3</v>
      </c>
      <c r="AW545" s="4">
        <v>6</v>
      </c>
      <c r="AX545" s="4">
        <v>0.13</v>
      </c>
      <c r="AY545" s="4">
        <v>100</v>
      </c>
      <c r="AZ545" s="4">
        <v>250</v>
      </c>
      <c r="BA545" s="4">
        <v>49.62</v>
      </c>
      <c r="BC545" s="4" t="s">
        <v>2662</v>
      </c>
      <c r="BD545" s="4" t="s">
        <v>2653</v>
      </c>
      <c r="BE545" s="4" t="s">
        <v>91</v>
      </c>
      <c r="BF545" s="4">
        <v>6.5</v>
      </c>
      <c r="BG545" s="4">
        <v>28.2</v>
      </c>
      <c r="BI545" s="4">
        <v>30.4</v>
      </c>
      <c r="BK545" s="4">
        <v>1</v>
      </c>
      <c r="BL545" s="4" t="s">
        <v>2664</v>
      </c>
      <c r="BM545" s="30" t="s">
        <v>2663</v>
      </c>
    </row>
    <row r="546" spans="4:65">
      <c r="D546" s="17" t="str">
        <f t="shared" si="135"/>
        <v>ErgänzungsfuttermittelKatzeAufzuchtmilch/Katzenmilch</v>
      </c>
      <c r="E546" s="4" t="s">
        <v>91</v>
      </c>
      <c r="F546" s="19" t="s">
        <v>90</v>
      </c>
      <c r="G546" s="4" t="s">
        <v>2903</v>
      </c>
      <c r="L546" s="4" t="s">
        <v>1369</v>
      </c>
      <c r="M546">
        <f t="shared" si="136"/>
        <v>7.5</v>
      </c>
      <c r="N546">
        <f t="shared" si="136"/>
        <v>40</v>
      </c>
      <c r="P546">
        <f t="shared" si="137"/>
        <v>18</v>
      </c>
      <c r="R546">
        <f t="shared" si="138"/>
        <v>0.01</v>
      </c>
      <c r="S546" s="4">
        <v>800</v>
      </c>
      <c r="T546" s="4">
        <v>700</v>
      </c>
      <c r="U546" s="33">
        <f t="shared" si="125"/>
        <v>1.1428571428571428</v>
      </c>
      <c r="AF546" s="4">
        <f t="shared" si="133"/>
        <v>585</v>
      </c>
      <c r="AG546" s="4">
        <v>1950</v>
      </c>
      <c r="AK546" s="4">
        <v>195</v>
      </c>
      <c r="AL546" s="4">
        <f t="shared" si="134"/>
        <v>4.875</v>
      </c>
      <c r="AN546" s="4">
        <v>7.8</v>
      </c>
      <c r="BA546" s="4">
        <v>29.49</v>
      </c>
      <c r="BC546" s="4" t="s">
        <v>1369</v>
      </c>
      <c r="BD546" s="4" t="s">
        <v>956</v>
      </c>
      <c r="BE546" s="4" t="s">
        <v>91</v>
      </c>
      <c r="BF546" s="4">
        <v>7.5</v>
      </c>
      <c r="BG546" s="4">
        <v>40</v>
      </c>
      <c r="BI546" s="4">
        <v>18</v>
      </c>
      <c r="BK546" s="4">
        <v>0.01</v>
      </c>
      <c r="BL546" s="4" t="s">
        <v>3061</v>
      </c>
      <c r="BM546" s="4" t="s">
        <v>3060</v>
      </c>
    </row>
    <row r="547" spans="4:65">
      <c r="D547" s="17" t="str">
        <f t="shared" si="135"/>
        <v>ErgänzungsfuttermittelKatzeAufzuchtmilch/Katzenmilch</v>
      </c>
      <c r="E547" s="4" t="s">
        <v>91</v>
      </c>
      <c r="F547" s="19" t="s">
        <v>90</v>
      </c>
      <c r="G547" s="4" t="s">
        <v>2903</v>
      </c>
      <c r="L547" s="4" t="s">
        <v>3068</v>
      </c>
      <c r="M547">
        <f t="shared" si="136"/>
        <v>6.27</v>
      </c>
      <c r="N547">
        <f t="shared" si="136"/>
        <v>29.42</v>
      </c>
      <c r="P547">
        <f t="shared" si="137"/>
        <v>22.62</v>
      </c>
      <c r="R547">
        <f t="shared" si="138"/>
        <v>0.01</v>
      </c>
      <c r="U547" s="33" t="str">
        <f t="shared" si="125"/>
        <v/>
      </c>
      <c r="AF547" s="4">
        <f t="shared" si="133"/>
        <v>0</v>
      </c>
      <c r="AL547" s="4">
        <f t="shared" si="134"/>
        <v>0</v>
      </c>
      <c r="BA547" s="4">
        <v>48.54</v>
      </c>
      <c r="BC547" s="4" t="s">
        <v>3068</v>
      </c>
      <c r="BD547" s="4" t="s">
        <v>956</v>
      </c>
      <c r="BE547" s="4" t="s">
        <v>91</v>
      </c>
      <c r="BF547" s="4">
        <v>6.27</v>
      </c>
      <c r="BG547" s="4">
        <v>29.42</v>
      </c>
      <c r="BI547" s="4">
        <v>22.62</v>
      </c>
      <c r="BK547" s="4">
        <v>0.01</v>
      </c>
      <c r="BL547" s="4" t="s">
        <v>3070</v>
      </c>
      <c r="BM547" s="4" t="s">
        <v>3069</v>
      </c>
    </row>
    <row r="548" spans="4:65">
      <c r="D548" s="17"/>
      <c r="F548" s="19"/>
      <c r="U548" s="33" t="str">
        <f t="shared" si="125"/>
        <v/>
      </c>
      <c r="AF548" s="4">
        <f t="shared" si="133"/>
        <v>0</v>
      </c>
      <c r="AL548" s="4">
        <f t="shared" si="134"/>
        <v>0</v>
      </c>
    </row>
    <row r="549" spans="4:65">
      <c r="D549" s="17" t="str">
        <f t="shared" ref="D549:D569" si="139">E549&amp;""&amp;F549&amp;""&amp;G549&amp;""&amp;H549</f>
        <v>ErgänzungsfuttermittelKatzeProbiotikum</v>
      </c>
      <c r="E549" s="4" t="s">
        <v>91</v>
      </c>
      <c r="F549" s="19" t="s">
        <v>90</v>
      </c>
      <c r="G549" s="4" t="s">
        <v>394</v>
      </c>
      <c r="L549" s="4" t="s">
        <v>395</v>
      </c>
      <c r="M549">
        <f t="shared" ref="M549:M569" si="140">BF549</f>
        <v>2</v>
      </c>
      <c r="N549">
        <f t="shared" ref="N549:N569" si="141">BG549</f>
        <v>21</v>
      </c>
      <c r="P549">
        <f t="shared" ref="P549:P569" si="142">BI549</f>
        <v>2</v>
      </c>
      <c r="R549">
        <f t="shared" ref="R549:R569" si="143">BK549</f>
        <v>2</v>
      </c>
      <c r="U549" s="33" t="str">
        <f t="shared" si="125"/>
        <v/>
      </c>
      <c r="AF549" s="4">
        <f t="shared" si="133"/>
        <v>0</v>
      </c>
      <c r="AL549" s="4">
        <f t="shared" si="134"/>
        <v>0</v>
      </c>
      <c r="BC549" s="4" t="s">
        <v>398</v>
      </c>
      <c r="BD549" s="4" t="s">
        <v>371</v>
      </c>
      <c r="BE549" s="4" t="s">
        <v>91</v>
      </c>
      <c r="BF549" s="4">
        <v>2</v>
      </c>
      <c r="BG549" s="4">
        <v>21</v>
      </c>
      <c r="BI549" s="4">
        <v>2</v>
      </c>
      <c r="BK549" s="4">
        <v>2</v>
      </c>
      <c r="BL549" s="4" t="s">
        <v>397</v>
      </c>
      <c r="BM549" s="4" t="s">
        <v>396</v>
      </c>
    </row>
    <row r="550" spans="4:65">
      <c r="D550" s="17" t="str">
        <f t="shared" si="139"/>
        <v>ErgänzungsfuttermittelKatzeProbiotikum</v>
      </c>
      <c r="E550" s="4" t="s">
        <v>91</v>
      </c>
      <c r="F550" s="19" t="s">
        <v>90</v>
      </c>
      <c r="G550" s="4" t="s">
        <v>394</v>
      </c>
      <c r="I550" s="21"/>
      <c r="L550" s="4" t="s">
        <v>807</v>
      </c>
      <c r="M550">
        <f t="shared" si="140"/>
        <v>4</v>
      </c>
      <c r="N550">
        <f t="shared" si="141"/>
        <v>14</v>
      </c>
      <c r="P550">
        <f t="shared" si="142"/>
        <v>63.6</v>
      </c>
      <c r="R550">
        <f t="shared" si="143"/>
        <v>0.2</v>
      </c>
      <c r="U550" s="33" t="str">
        <f t="shared" si="125"/>
        <v/>
      </c>
      <c r="AF550" s="4">
        <f t="shared" si="133"/>
        <v>66300</v>
      </c>
      <c r="AG550" s="4">
        <v>221000</v>
      </c>
      <c r="AK550" s="4">
        <v>10000</v>
      </c>
      <c r="AL550" s="4">
        <f t="shared" si="134"/>
        <v>250</v>
      </c>
      <c r="AN550" s="4">
        <v>900</v>
      </c>
      <c r="BA550" s="4">
        <v>932.67</v>
      </c>
      <c r="BB550" s="4">
        <v>0.25</v>
      </c>
      <c r="BC550" s="4" t="s">
        <v>809</v>
      </c>
      <c r="BD550" s="4" t="s">
        <v>703</v>
      </c>
      <c r="BE550" s="4" t="s">
        <v>91</v>
      </c>
      <c r="BF550" s="4">
        <v>4</v>
      </c>
      <c r="BG550" s="4">
        <v>14</v>
      </c>
      <c r="BI550" s="4">
        <v>63.6</v>
      </c>
      <c r="BK550" s="4">
        <v>0.2</v>
      </c>
      <c r="BL550" s="4" t="s">
        <v>808</v>
      </c>
      <c r="BM550" s="4" t="s">
        <v>3210</v>
      </c>
    </row>
    <row r="551" spans="4:65">
      <c r="D551" s="17" t="str">
        <f t="shared" si="139"/>
        <v>ErgänzungsfuttermittelKatzeProbiotikum</v>
      </c>
      <c r="E551" s="4" t="s">
        <v>91</v>
      </c>
      <c r="F551" s="19" t="s">
        <v>90</v>
      </c>
      <c r="G551" s="4" t="s">
        <v>394</v>
      </c>
      <c r="L551" s="4" t="s">
        <v>1313</v>
      </c>
      <c r="M551">
        <f t="shared" si="140"/>
        <v>3.3</v>
      </c>
      <c r="N551">
        <f t="shared" si="141"/>
        <v>14</v>
      </c>
      <c r="P551">
        <f t="shared" si="142"/>
        <v>43.2</v>
      </c>
      <c r="R551">
        <f t="shared" si="143"/>
        <v>0.5</v>
      </c>
      <c r="U551" s="33" t="str">
        <f t="shared" si="125"/>
        <v/>
      </c>
      <c r="AF551" s="4">
        <f t="shared" si="133"/>
        <v>0</v>
      </c>
      <c r="AL551" s="4">
        <f t="shared" si="134"/>
        <v>0</v>
      </c>
      <c r="BB551" s="4">
        <v>2</v>
      </c>
      <c r="BC551" s="4" t="s">
        <v>1313</v>
      </c>
      <c r="BD551" s="4" t="s">
        <v>1285</v>
      </c>
      <c r="BE551" s="4" t="s">
        <v>91</v>
      </c>
      <c r="BF551" s="4">
        <v>3.3</v>
      </c>
      <c r="BG551" s="4">
        <v>14</v>
      </c>
      <c r="BI551" s="4">
        <v>43.2</v>
      </c>
      <c r="BK551" s="4">
        <v>0.5</v>
      </c>
      <c r="BL551" s="4" t="s">
        <v>1315</v>
      </c>
      <c r="BM551" s="4" t="s">
        <v>1314</v>
      </c>
    </row>
    <row r="552" spans="4:65">
      <c r="D552" s="17" t="str">
        <f t="shared" si="139"/>
        <v>ErgänzungsfuttermittelKatzeProbiotikum</v>
      </c>
      <c r="E552" s="4" t="s">
        <v>91</v>
      </c>
      <c r="F552" s="19" t="s">
        <v>90</v>
      </c>
      <c r="G552" s="4" t="s">
        <v>394</v>
      </c>
      <c r="L552" s="4" t="s">
        <v>1344</v>
      </c>
      <c r="M552">
        <f t="shared" si="140"/>
        <v>16.7</v>
      </c>
      <c r="N552">
        <f t="shared" si="141"/>
        <v>8.9</v>
      </c>
      <c r="P552">
        <f t="shared" si="142"/>
        <v>2.6</v>
      </c>
      <c r="R552">
        <f t="shared" si="143"/>
        <v>3</v>
      </c>
      <c r="S552" s="4">
        <v>1100</v>
      </c>
      <c r="T552" s="4">
        <v>600</v>
      </c>
      <c r="U552" s="33">
        <f t="shared" si="125"/>
        <v>1.8333333333333333</v>
      </c>
      <c r="W552" s="4">
        <v>3000</v>
      </c>
      <c r="X552" s="4">
        <v>3800</v>
      </c>
      <c r="Y552" s="4">
        <v>6400</v>
      </c>
      <c r="AF552" s="4">
        <f t="shared" si="133"/>
        <v>0</v>
      </c>
      <c r="AL552" s="4">
        <f t="shared" si="134"/>
        <v>0</v>
      </c>
      <c r="AN552" s="4">
        <v>100</v>
      </c>
      <c r="AW552" s="4">
        <v>200</v>
      </c>
      <c r="BA552" s="4">
        <v>22.98</v>
      </c>
      <c r="BB552" s="4">
        <v>50</v>
      </c>
      <c r="BC552" s="4" t="s">
        <v>1344</v>
      </c>
      <c r="BD552" s="4" t="s">
        <v>1285</v>
      </c>
      <c r="BE552" s="4" t="s">
        <v>91</v>
      </c>
      <c r="BF552" s="4">
        <v>16.7</v>
      </c>
      <c r="BG552" s="4">
        <v>8.9</v>
      </c>
      <c r="BI552" s="4">
        <v>2.6</v>
      </c>
      <c r="BK552" s="4">
        <v>3</v>
      </c>
      <c r="BL552" s="4" t="s">
        <v>1346</v>
      </c>
      <c r="BM552" s="4" t="s">
        <v>1345</v>
      </c>
    </row>
    <row r="553" spans="4:65">
      <c r="D553" s="17" t="str">
        <f t="shared" si="139"/>
        <v>ErgänzungsfuttermittelKatzeProbiotikum</v>
      </c>
      <c r="E553" s="4" t="s">
        <v>91</v>
      </c>
      <c r="F553" s="19" t="s">
        <v>90</v>
      </c>
      <c r="G553" s="4" t="s">
        <v>394</v>
      </c>
      <c r="I553" s="18"/>
      <c r="L553" s="4" t="s">
        <v>1412</v>
      </c>
      <c r="M553">
        <f t="shared" si="140"/>
        <v>8.5</v>
      </c>
      <c r="N553">
        <f t="shared" si="141"/>
        <v>40.5</v>
      </c>
      <c r="P553">
        <f t="shared" si="142"/>
        <v>9.4</v>
      </c>
      <c r="R553">
        <f t="shared" si="143"/>
        <v>11.5</v>
      </c>
      <c r="S553" s="4">
        <v>750</v>
      </c>
      <c r="T553" s="4">
        <v>360</v>
      </c>
      <c r="U553" s="33">
        <f t="shared" si="125"/>
        <v>2.0833333333333335</v>
      </c>
      <c r="AF553" s="4">
        <f t="shared" si="133"/>
        <v>0</v>
      </c>
      <c r="AL553" s="4">
        <f t="shared" si="134"/>
        <v>0</v>
      </c>
      <c r="BB553" s="4">
        <v>2</v>
      </c>
      <c r="BC553" s="4" t="s">
        <v>1412</v>
      </c>
      <c r="BD553" s="4" t="s">
        <v>1388</v>
      </c>
      <c r="BE553" s="4" t="s">
        <v>91</v>
      </c>
      <c r="BF553" s="4">
        <v>8.5</v>
      </c>
      <c r="BG553" s="4">
        <v>40.5</v>
      </c>
      <c r="BI553" s="4">
        <v>9.4</v>
      </c>
      <c r="BK553" s="4">
        <v>11.5</v>
      </c>
      <c r="BL553" s="4" t="s">
        <v>1414</v>
      </c>
      <c r="BM553" s="4" t="s">
        <v>1413</v>
      </c>
    </row>
    <row r="554" spans="4:65">
      <c r="D554" s="17" t="str">
        <f t="shared" si="139"/>
        <v>ErgänzungsfuttermittelKatzeProbiotikum</v>
      </c>
      <c r="E554" s="4" t="s">
        <v>91</v>
      </c>
      <c r="F554" s="19" t="s">
        <v>90</v>
      </c>
      <c r="G554" s="4" t="s">
        <v>394</v>
      </c>
      <c r="L554" s="4" t="s">
        <v>1520</v>
      </c>
      <c r="M554">
        <f t="shared" si="140"/>
        <v>3.2</v>
      </c>
      <c r="N554">
        <f t="shared" si="141"/>
        <v>1.6</v>
      </c>
      <c r="P554">
        <f t="shared" si="142"/>
        <v>0.4</v>
      </c>
      <c r="R554">
        <f t="shared" si="143"/>
        <v>2.4</v>
      </c>
      <c r="U554" s="33" t="str">
        <f t="shared" si="125"/>
        <v/>
      </c>
      <c r="W554" s="4">
        <v>700</v>
      </c>
      <c r="X554" s="4">
        <v>1900</v>
      </c>
      <c r="AF554" s="4">
        <f t="shared" si="133"/>
        <v>0</v>
      </c>
      <c r="AL554" s="4">
        <f t="shared" si="134"/>
        <v>0</v>
      </c>
      <c r="BC554" s="4" t="s">
        <v>1520</v>
      </c>
      <c r="BD554" s="4" t="s">
        <v>1513</v>
      </c>
      <c r="BE554" s="4" t="s">
        <v>91</v>
      </c>
      <c r="BF554" s="4">
        <v>3.2</v>
      </c>
      <c r="BG554" s="4">
        <v>1.6</v>
      </c>
      <c r="BI554" s="4">
        <v>0.4</v>
      </c>
      <c r="BK554" s="4">
        <v>2.4</v>
      </c>
      <c r="BL554" s="4" t="s">
        <v>1522</v>
      </c>
      <c r="BM554" s="4" t="s">
        <v>1521</v>
      </c>
    </row>
    <row r="555" spans="4:65">
      <c r="D555" s="17" t="str">
        <f t="shared" si="139"/>
        <v>ErgänzungsfuttermittelKatzeProbiotikum</v>
      </c>
      <c r="E555" s="4" t="s">
        <v>91</v>
      </c>
      <c r="F555" s="19" t="s">
        <v>90</v>
      </c>
      <c r="G555" s="4" t="s">
        <v>394</v>
      </c>
      <c r="L555" s="4" t="s">
        <v>1523</v>
      </c>
      <c r="M555">
        <f t="shared" si="140"/>
        <v>1.6</v>
      </c>
      <c r="N555">
        <f t="shared" si="141"/>
        <v>1.1000000000000001</v>
      </c>
      <c r="P555">
        <f t="shared" si="142"/>
        <v>0.3</v>
      </c>
      <c r="R555">
        <f t="shared" si="143"/>
        <v>1.4</v>
      </c>
      <c r="U555" s="33" t="str">
        <f t="shared" si="125"/>
        <v/>
      </c>
      <c r="AF555" s="4">
        <f t="shared" si="133"/>
        <v>0</v>
      </c>
      <c r="AL555" s="4">
        <f t="shared" si="134"/>
        <v>0</v>
      </c>
      <c r="BC555" s="4" t="s">
        <v>1523</v>
      </c>
      <c r="BD555" s="4" t="s">
        <v>1513</v>
      </c>
      <c r="BE555" s="4" t="s">
        <v>91</v>
      </c>
      <c r="BF555" s="4">
        <v>1.6</v>
      </c>
      <c r="BG555" s="4">
        <v>1.1000000000000001</v>
      </c>
      <c r="BI555" s="4">
        <v>0.3</v>
      </c>
      <c r="BK555" s="4">
        <v>1.4</v>
      </c>
      <c r="BL555" s="4" t="s">
        <v>1525</v>
      </c>
      <c r="BM555" s="4" t="s">
        <v>1524</v>
      </c>
    </row>
    <row r="556" spans="4:65">
      <c r="D556" s="17" t="str">
        <f t="shared" si="139"/>
        <v>ErgänzungsfuttermittelKatzeProbiotikum</v>
      </c>
      <c r="E556" s="4" t="s">
        <v>91</v>
      </c>
      <c r="F556" s="19" t="s">
        <v>90</v>
      </c>
      <c r="G556" s="4" t="s">
        <v>394</v>
      </c>
      <c r="L556" s="4" t="s">
        <v>1574</v>
      </c>
      <c r="M556">
        <f t="shared" si="140"/>
        <v>19.5</v>
      </c>
      <c r="N556">
        <f t="shared" si="141"/>
        <v>13.9</v>
      </c>
      <c r="P556">
        <f t="shared" si="142"/>
        <v>6</v>
      </c>
      <c r="R556">
        <f t="shared" si="143"/>
        <v>2.8</v>
      </c>
      <c r="U556" s="33" t="str">
        <f t="shared" si="125"/>
        <v/>
      </c>
      <c r="W556" s="4">
        <v>2500</v>
      </c>
      <c r="X556" s="4">
        <v>3900</v>
      </c>
      <c r="AB556" s="4">
        <v>500</v>
      </c>
      <c r="AF556" s="4">
        <f t="shared" si="133"/>
        <v>0</v>
      </c>
      <c r="AL556" s="4">
        <f t="shared" si="134"/>
        <v>0</v>
      </c>
      <c r="BB556" s="4">
        <v>3</v>
      </c>
      <c r="BC556" s="4" t="s">
        <v>1574</v>
      </c>
      <c r="BD556" s="4" t="s">
        <v>1575</v>
      </c>
      <c r="BE556" s="4" t="s">
        <v>91</v>
      </c>
      <c r="BF556" s="4">
        <v>19.5</v>
      </c>
      <c r="BG556" s="4">
        <v>13.9</v>
      </c>
      <c r="BI556" s="4">
        <v>6</v>
      </c>
      <c r="BK556" s="4">
        <v>2.8</v>
      </c>
      <c r="BL556" s="4" t="s">
        <v>1577</v>
      </c>
      <c r="BM556" s="4" t="s">
        <v>1576</v>
      </c>
    </row>
    <row r="557" spans="4:65">
      <c r="D557" s="17" t="str">
        <f t="shared" si="139"/>
        <v>ErgänzungsfuttermittelKatzeProbiotikum</v>
      </c>
      <c r="E557" s="4" t="s">
        <v>91</v>
      </c>
      <c r="F557" s="19" t="s">
        <v>90</v>
      </c>
      <c r="G557" s="4" t="s">
        <v>394</v>
      </c>
      <c r="L557" s="4" t="s">
        <v>2339</v>
      </c>
      <c r="M557">
        <f t="shared" si="140"/>
        <v>0.9</v>
      </c>
      <c r="N557">
        <f t="shared" si="141"/>
        <v>0</v>
      </c>
      <c r="P557">
        <f t="shared" si="142"/>
        <v>0</v>
      </c>
      <c r="R557">
        <f t="shared" si="143"/>
        <v>0.9</v>
      </c>
      <c r="U557" s="33" t="str">
        <f t="shared" si="125"/>
        <v/>
      </c>
      <c r="AF557" s="4">
        <f t="shared" si="133"/>
        <v>0</v>
      </c>
      <c r="AL557" s="4">
        <f t="shared" si="134"/>
        <v>0</v>
      </c>
      <c r="AR557" s="4">
        <v>12500</v>
      </c>
      <c r="AS557" s="4">
        <v>2500</v>
      </c>
      <c r="AV557" s="4">
        <v>25000</v>
      </c>
      <c r="BA557" s="4">
        <v>245.73</v>
      </c>
      <c r="BB557" s="4">
        <v>1</v>
      </c>
      <c r="BC557" s="4" t="s">
        <v>2340</v>
      </c>
      <c r="BD557" s="4" t="s">
        <v>2322</v>
      </c>
      <c r="BE557" s="4" t="s">
        <v>91</v>
      </c>
      <c r="BF557" s="4">
        <v>0.9</v>
      </c>
      <c r="BG557" s="4">
        <v>0</v>
      </c>
      <c r="BI557" s="4">
        <v>0</v>
      </c>
      <c r="BK557" s="4">
        <v>0.9</v>
      </c>
      <c r="BL557" s="4" t="s">
        <v>2342</v>
      </c>
      <c r="BM557" s="4" t="s">
        <v>2341</v>
      </c>
    </row>
    <row r="558" spans="4:65">
      <c r="D558" s="17" t="str">
        <f t="shared" si="139"/>
        <v>ErgänzungsfuttermittelKatzeProbiotikum</v>
      </c>
      <c r="E558" s="4" t="s">
        <v>91</v>
      </c>
      <c r="F558" s="19" t="s">
        <v>90</v>
      </c>
      <c r="G558" s="4" t="s">
        <v>394</v>
      </c>
      <c r="L558" s="4" t="s">
        <v>2385</v>
      </c>
      <c r="M558">
        <f t="shared" si="140"/>
        <v>2</v>
      </c>
      <c r="N558">
        <f t="shared" si="141"/>
        <v>21</v>
      </c>
      <c r="P558">
        <f t="shared" si="142"/>
        <v>2</v>
      </c>
      <c r="R558">
        <f t="shared" si="143"/>
        <v>2</v>
      </c>
      <c r="U558" s="33" t="str">
        <f t="shared" si="125"/>
        <v/>
      </c>
      <c r="AF558" s="4">
        <f t="shared" si="133"/>
        <v>0</v>
      </c>
      <c r="AL558" s="4">
        <f t="shared" si="134"/>
        <v>0</v>
      </c>
      <c r="BA558" s="4">
        <v>575.11</v>
      </c>
      <c r="BC558" s="4" t="s">
        <v>2385</v>
      </c>
      <c r="BD558" s="4" t="s">
        <v>2322</v>
      </c>
      <c r="BE558" s="4" t="s">
        <v>91</v>
      </c>
      <c r="BF558" s="4">
        <v>2</v>
      </c>
      <c r="BG558" s="4">
        <v>21</v>
      </c>
      <c r="BI558" s="4">
        <v>2</v>
      </c>
      <c r="BK558" s="4">
        <v>2</v>
      </c>
      <c r="BL558" s="4" t="s">
        <v>2387</v>
      </c>
      <c r="BM558" s="4" t="s">
        <v>2386</v>
      </c>
    </row>
    <row r="559" spans="4:65">
      <c r="D559" s="17" t="str">
        <f t="shared" si="139"/>
        <v>ErgänzungsfuttermittelKatzeProbiotikum</v>
      </c>
      <c r="E559" s="4" t="s">
        <v>91</v>
      </c>
      <c r="F559" s="19" t="s">
        <v>90</v>
      </c>
      <c r="G559" s="4" t="s">
        <v>394</v>
      </c>
      <c r="L559" s="4" t="s">
        <v>2403</v>
      </c>
      <c r="M559">
        <f t="shared" si="140"/>
        <v>2.6</v>
      </c>
      <c r="N559">
        <f t="shared" si="141"/>
        <v>1.3</v>
      </c>
      <c r="P559">
        <f t="shared" si="142"/>
        <v>1</v>
      </c>
      <c r="R559">
        <f t="shared" si="143"/>
        <v>1.3</v>
      </c>
      <c r="U559" s="33" t="str">
        <f t="shared" si="125"/>
        <v/>
      </c>
      <c r="AF559" s="4">
        <f t="shared" si="133"/>
        <v>4500</v>
      </c>
      <c r="AG559" s="4">
        <v>15000</v>
      </c>
      <c r="AK559" s="4">
        <v>150</v>
      </c>
      <c r="AL559" s="4">
        <f t="shared" si="134"/>
        <v>3.75</v>
      </c>
      <c r="AN559" s="4">
        <v>100</v>
      </c>
      <c r="BA559" s="4">
        <v>69.900000000000006</v>
      </c>
      <c r="BB559" s="4">
        <v>6</v>
      </c>
      <c r="BC559" s="4" t="s">
        <v>2404</v>
      </c>
      <c r="BD559" s="4" t="s">
        <v>2397</v>
      </c>
      <c r="BE559" s="4" t="s">
        <v>91</v>
      </c>
      <c r="BF559" s="4">
        <v>2.6</v>
      </c>
      <c r="BG559" s="4">
        <v>1.3</v>
      </c>
      <c r="BI559" s="4">
        <v>1</v>
      </c>
      <c r="BK559" s="4">
        <v>1.3</v>
      </c>
      <c r="BL559" s="4" t="s">
        <v>2406</v>
      </c>
      <c r="BM559" s="4" t="s">
        <v>2405</v>
      </c>
    </row>
    <row r="560" spans="4:65">
      <c r="D560" s="17" t="str">
        <f t="shared" si="139"/>
        <v>ErgänzungsfuttermittelKatzeProbiotikum</v>
      </c>
      <c r="E560" s="4" t="s">
        <v>91</v>
      </c>
      <c r="F560" s="19" t="s">
        <v>90</v>
      </c>
      <c r="G560" s="4" t="s">
        <v>394</v>
      </c>
      <c r="L560" s="4" t="s">
        <v>2407</v>
      </c>
      <c r="M560">
        <f t="shared" si="140"/>
        <v>4.5999999999999996</v>
      </c>
      <c r="N560">
        <f t="shared" si="141"/>
        <v>0.1</v>
      </c>
      <c r="P560">
        <f t="shared" si="142"/>
        <v>85.6</v>
      </c>
      <c r="R560">
        <f t="shared" si="143"/>
        <v>0</v>
      </c>
      <c r="U560" s="33" t="str">
        <f t="shared" si="125"/>
        <v/>
      </c>
      <c r="AF560" s="4">
        <f t="shared" si="133"/>
        <v>60000</v>
      </c>
      <c r="AG560" s="4">
        <v>200000</v>
      </c>
      <c r="AL560" s="4">
        <f t="shared" si="134"/>
        <v>0</v>
      </c>
      <c r="AX560" s="4">
        <v>200</v>
      </c>
      <c r="BA560" s="4">
        <v>510.33</v>
      </c>
      <c r="BB560" s="4">
        <v>1</v>
      </c>
      <c r="BC560" s="4" t="s">
        <v>2407</v>
      </c>
      <c r="BD560" s="4" t="s">
        <v>2397</v>
      </c>
      <c r="BE560" s="4" t="s">
        <v>91</v>
      </c>
      <c r="BF560" s="4">
        <v>4.5999999999999996</v>
      </c>
      <c r="BG560" s="4">
        <v>0.1</v>
      </c>
      <c r="BI560" s="4">
        <v>85.6</v>
      </c>
      <c r="BK560" s="4">
        <v>0</v>
      </c>
      <c r="BL560" s="4" t="s">
        <v>2409</v>
      </c>
      <c r="BM560" s="4" t="s">
        <v>2408</v>
      </c>
    </row>
    <row r="561" spans="4:65">
      <c r="D561" s="17" t="str">
        <f t="shared" si="139"/>
        <v>ErgänzungsfuttermittelKatzeProbiotikum</v>
      </c>
      <c r="E561" s="4" t="s">
        <v>91</v>
      </c>
      <c r="F561" s="19" t="s">
        <v>90</v>
      </c>
      <c r="G561" s="4" t="s">
        <v>394</v>
      </c>
      <c r="L561" s="4" t="s">
        <v>2614</v>
      </c>
      <c r="M561">
        <f t="shared" si="140"/>
        <v>11.2</v>
      </c>
      <c r="N561">
        <f t="shared" si="141"/>
        <v>14.2</v>
      </c>
      <c r="P561">
        <f t="shared" si="142"/>
        <v>66.5</v>
      </c>
      <c r="R561">
        <f t="shared" si="143"/>
        <v>0.3</v>
      </c>
      <c r="U561" s="33" t="str">
        <f t="shared" si="125"/>
        <v/>
      </c>
      <c r="AF561" s="4">
        <f t="shared" si="133"/>
        <v>30000</v>
      </c>
      <c r="AG561" s="4">
        <v>100000</v>
      </c>
      <c r="AK561" s="4">
        <v>5000</v>
      </c>
      <c r="AL561" s="4">
        <f t="shared" si="134"/>
        <v>125</v>
      </c>
      <c r="AN561" s="4">
        <v>500</v>
      </c>
      <c r="AO561" s="4">
        <v>10</v>
      </c>
      <c r="AP561" s="4">
        <v>80</v>
      </c>
      <c r="AR561" s="4">
        <v>166.6</v>
      </c>
      <c r="AT561" s="4">
        <v>300</v>
      </c>
      <c r="AU561" s="4">
        <v>50</v>
      </c>
      <c r="AV561" s="4">
        <v>2000</v>
      </c>
      <c r="AW561" s="4">
        <v>100</v>
      </c>
      <c r="AX561" s="4">
        <v>60</v>
      </c>
      <c r="BA561" s="4">
        <v>578</v>
      </c>
      <c r="BB561" s="4">
        <v>2</v>
      </c>
      <c r="BC561" s="4" t="s">
        <v>2432</v>
      </c>
      <c r="BD561" s="4" t="s">
        <v>2397</v>
      </c>
      <c r="BE561" s="4" t="s">
        <v>91</v>
      </c>
      <c r="BF561" s="4">
        <v>11.2</v>
      </c>
      <c r="BG561" s="4">
        <v>14.2</v>
      </c>
      <c r="BI561" s="4">
        <v>66.5</v>
      </c>
      <c r="BK561" s="4">
        <v>0.3</v>
      </c>
      <c r="BL561" s="4" t="s">
        <v>2433</v>
      </c>
      <c r="BM561" s="4" t="s">
        <v>2434</v>
      </c>
    </row>
    <row r="562" spans="4:65">
      <c r="D562" s="17" t="str">
        <f t="shared" si="139"/>
        <v>ErgänzungsfuttermittelKatzeProbiotikum</v>
      </c>
      <c r="E562" s="4" t="s">
        <v>91</v>
      </c>
      <c r="F562" s="19" t="s">
        <v>90</v>
      </c>
      <c r="G562" s="4" t="s">
        <v>394</v>
      </c>
      <c r="L562" s="4" t="s">
        <v>2613</v>
      </c>
      <c r="M562">
        <f t="shared" si="140"/>
        <v>20.100000000000001</v>
      </c>
      <c r="N562">
        <f t="shared" si="141"/>
        <v>1.4</v>
      </c>
      <c r="P562">
        <f t="shared" si="142"/>
        <v>48.8</v>
      </c>
      <c r="R562">
        <f t="shared" si="143"/>
        <v>0.3</v>
      </c>
      <c r="U562" s="33" t="str">
        <f t="shared" si="125"/>
        <v/>
      </c>
      <c r="AF562" s="4">
        <f t="shared" si="133"/>
        <v>0</v>
      </c>
      <c r="AL562" s="4">
        <f t="shared" si="134"/>
        <v>0</v>
      </c>
      <c r="BA562" s="4">
        <v>521.5</v>
      </c>
      <c r="BB562" s="4">
        <v>4</v>
      </c>
      <c r="BC562" s="4" t="s">
        <v>2613</v>
      </c>
      <c r="BD562" s="4" t="s">
        <v>2451</v>
      </c>
      <c r="BE562" s="4" t="s">
        <v>91</v>
      </c>
      <c r="BF562" s="4">
        <v>20.100000000000001</v>
      </c>
      <c r="BG562" s="4">
        <v>1.4</v>
      </c>
      <c r="BI562" s="4">
        <v>48.8</v>
      </c>
      <c r="BK562" s="4">
        <v>0.3</v>
      </c>
      <c r="BL562" s="4" t="s">
        <v>2616</v>
      </c>
      <c r="BM562" s="4" t="s">
        <v>2615</v>
      </c>
    </row>
    <row r="563" spans="4:65">
      <c r="D563" s="17" t="str">
        <f t="shared" si="139"/>
        <v>ErgänzungsfuttermittelKatzeProbiotikum</v>
      </c>
      <c r="E563" s="4" t="s">
        <v>91</v>
      </c>
      <c r="F563" s="19" t="s">
        <v>90</v>
      </c>
      <c r="G563" s="4" t="s">
        <v>394</v>
      </c>
      <c r="L563" s="4" t="s">
        <v>2718</v>
      </c>
      <c r="M563">
        <f t="shared" si="140"/>
        <v>16</v>
      </c>
      <c r="N563">
        <f t="shared" si="141"/>
        <v>4</v>
      </c>
      <c r="P563">
        <f t="shared" si="142"/>
        <v>60</v>
      </c>
      <c r="R563">
        <f t="shared" si="143"/>
        <v>4</v>
      </c>
      <c r="U563" s="33" t="str">
        <f t="shared" si="125"/>
        <v/>
      </c>
      <c r="AF563" s="4">
        <f t="shared" si="133"/>
        <v>0</v>
      </c>
      <c r="AL563" s="4">
        <f t="shared" si="134"/>
        <v>0</v>
      </c>
      <c r="BA563" s="4">
        <v>775.48</v>
      </c>
      <c r="BC563" s="4" t="s">
        <v>2719</v>
      </c>
      <c r="BD563" s="4" t="s">
        <v>2701</v>
      </c>
      <c r="BE563" s="4" t="s">
        <v>91</v>
      </c>
      <c r="BF563" s="4">
        <v>16</v>
      </c>
      <c r="BG563" s="4">
        <v>4</v>
      </c>
      <c r="BI563" s="4">
        <v>60</v>
      </c>
      <c r="BK563" s="4">
        <v>4</v>
      </c>
      <c r="BL563" s="4" t="s">
        <v>2721</v>
      </c>
      <c r="BM563" s="4" t="s">
        <v>2720</v>
      </c>
    </row>
    <row r="564" spans="4:65">
      <c r="D564" s="17" t="str">
        <f t="shared" si="139"/>
        <v>ErgänzungsfuttermittelKatzeProbiotikum</v>
      </c>
      <c r="E564" s="4" t="s">
        <v>91</v>
      </c>
      <c r="F564" s="19" t="s">
        <v>90</v>
      </c>
      <c r="G564" s="4" t="s">
        <v>394</v>
      </c>
      <c r="L564" s="4" t="s">
        <v>2843</v>
      </c>
      <c r="M564">
        <f t="shared" si="140"/>
        <v>16</v>
      </c>
      <c r="N564">
        <f t="shared" si="141"/>
        <v>25.4</v>
      </c>
      <c r="P564">
        <f t="shared" si="142"/>
        <v>10.4</v>
      </c>
      <c r="R564">
        <f t="shared" si="143"/>
        <v>7</v>
      </c>
      <c r="U564" s="33" t="str">
        <f t="shared" si="125"/>
        <v/>
      </c>
      <c r="Z564" s="4">
        <v>66.599999999999994</v>
      </c>
      <c r="AA564" s="4">
        <v>4.8</v>
      </c>
      <c r="AB564" s="4">
        <v>36</v>
      </c>
      <c r="AC564" s="4">
        <v>36</v>
      </c>
      <c r="AE564" s="4">
        <v>345</v>
      </c>
      <c r="AF564" s="4">
        <f t="shared" si="133"/>
        <v>2250</v>
      </c>
      <c r="AG564" s="4">
        <v>7500</v>
      </c>
      <c r="AK564" s="4">
        <v>750</v>
      </c>
      <c r="AL564" s="4">
        <f t="shared" si="134"/>
        <v>18.75</v>
      </c>
      <c r="AN564" s="4">
        <v>237</v>
      </c>
      <c r="AO564" s="4">
        <v>12.5</v>
      </c>
      <c r="AP564" s="4">
        <v>32.299999999999997</v>
      </c>
      <c r="AQ564" s="4">
        <v>26.7</v>
      </c>
      <c r="AR564" s="4">
        <v>209</v>
      </c>
      <c r="AS564" s="4">
        <v>530</v>
      </c>
      <c r="AT564" s="4">
        <v>135</v>
      </c>
      <c r="AU564" s="4">
        <v>81</v>
      </c>
      <c r="AV564" s="4">
        <v>5070</v>
      </c>
      <c r="AW564" s="4">
        <v>330</v>
      </c>
      <c r="AX564" s="4">
        <v>21.8</v>
      </c>
      <c r="BA564" s="4">
        <v>344.27</v>
      </c>
      <c r="BB564" s="4">
        <v>0.9</v>
      </c>
      <c r="BC564" s="4" t="s">
        <v>2843</v>
      </c>
      <c r="BD564" s="4" t="s">
        <v>2831</v>
      </c>
      <c r="BE564" s="4" t="s">
        <v>91</v>
      </c>
      <c r="BF564" s="4">
        <v>16</v>
      </c>
      <c r="BG564" s="4">
        <v>25.4</v>
      </c>
      <c r="BI564" s="4">
        <v>10.4</v>
      </c>
      <c r="BK564" s="4">
        <v>7</v>
      </c>
      <c r="BL564" s="4" t="s">
        <v>2845</v>
      </c>
      <c r="BM564" s="4" t="s">
        <v>2844</v>
      </c>
    </row>
    <row r="565" spans="4:65">
      <c r="D565" s="17" t="str">
        <f t="shared" si="139"/>
        <v>ErgänzungsfuttermittelKatzeProbiotikum</v>
      </c>
      <c r="E565" s="4" t="s">
        <v>91</v>
      </c>
      <c r="F565" s="19" t="s">
        <v>90</v>
      </c>
      <c r="G565" s="4" t="s">
        <v>394</v>
      </c>
      <c r="L565" s="4" t="s">
        <v>2916</v>
      </c>
      <c r="M565">
        <f t="shared" si="140"/>
        <v>37.6</v>
      </c>
      <c r="N565">
        <f t="shared" si="141"/>
        <v>0.5</v>
      </c>
      <c r="P565">
        <f t="shared" si="142"/>
        <v>0.1</v>
      </c>
      <c r="R565">
        <f t="shared" si="143"/>
        <v>0.8</v>
      </c>
      <c r="U565" s="33" t="str">
        <f t="shared" si="125"/>
        <v/>
      </c>
      <c r="W565" s="4">
        <v>130</v>
      </c>
      <c r="X565" s="4">
        <v>330</v>
      </c>
      <c r="AF565" s="4">
        <f t="shared" si="133"/>
        <v>0</v>
      </c>
      <c r="AL565" s="4">
        <f t="shared" si="134"/>
        <v>0</v>
      </c>
      <c r="BA565" s="4">
        <v>808.85</v>
      </c>
      <c r="BC565" s="4" t="s">
        <v>2917</v>
      </c>
      <c r="BD565" s="4" t="s">
        <v>2906</v>
      </c>
      <c r="BE565" s="4" t="s">
        <v>91</v>
      </c>
      <c r="BF565" s="4">
        <v>37.6</v>
      </c>
      <c r="BG565" s="4">
        <v>0.5</v>
      </c>
      <c r="BI565" s="4">
        <v>0.1</v>
      </c>
      <c r="BK565" s="4">
        <v>0.8</v>
      </c>
      <c r="BL565" s="4" t="s">
        <v>2918</v>
      </c>
      <c r="BM565" s="4" t="s">
        <v>2919</v>
      </c>
    </row>
    <row r="566" spans="4:65">
      <c r="D566" s="17" t="str">
        <f t="shared" si="139"/>
        <v>ErgänzungsfuttermittelKatzeProbiotikum</v>
      </c>
      <c r="E566" s="4" t="s">
        <v>91</v>
      </c>
      <c r="F566" s="19" t="s">
        <v>90</v>
      </c>
      <c r="G566" s="4" t="s">
        <v>394</v>
      </c>
      <c r="L566" s="4" t="s">
        <v>2931</v>
      </c>
      <c r="M566">
        <f t="shared" si="140"/>
        <v>2</v>
      </c>
      <c r="N566">
        <f t="shared" si="141"/>
        <v>3</v>
      </c>
      <c r="P566">
        <f t="shared" si="142"/>
        <v>1</v>
      </c>
      <c r="R566">
        <f t="shared" si="143"/>
        <v>1</v>
      </c>
      <c r="U566" s="33" t="str">
        <f t="shared" si="125"/>
        <v/>
      </c>
      <c r="AF566" s="4">
        <f t="shared" si="133"/>
        <v>0</v>
      </c>
      <c r="AL566" s="4">
        <f t="shared" si="134"/>
        <v>0</v>
      </c>
      <c r="BA566" s="4">
        <v>283.33</v>
      </c>
      <c r="BB566" s="4">
        <v>1.8</v>
      </c>
      <c r="BC566" s="4" t="s">
        <v>2931</v>
      </c>
      <c r="BD566" s="4" t="s">
        <v>2451</v>
      </c>
      <c r="BE566" s="4" t="s">
        <v>91</v>
      </c>
      <c r="BF566" s="4">
        <v>2</v>
      </c>
      <c r="BG566" s="4">
        <v>3</v>
      </c>
      <c r="BI566" s="4">
        <v>1</v>
      </c>
      <c r="BK566" s="4">
        <v>1</v>
      </c>
      <c r="BL566" s="4" t="s">
        <v>2933</v>
      </c>
      <c r="BM566" s="4" t="s">
        <v>2932</v>
      </c>
    </row>
    <row r="567" spans="4:65">
      <c r="D567" s="17" t="str">
        <f t="shared" si="139"/>
        <v>ErgänzungsfuttermittelKatzeProbiotikum</v>
      </c>
      <c r="E567" s="4" t="s">
        <v>91</v>
      </c>
      <c r="F567" s="19" t="s">
        <v>90</v>
      </c>
      <c r="G567" s="4" t="s">
        <v>394</v>
      </c>
      <c r="L567" s="4" t="s">
        <v>3145</v>
      </c>
      <c r="M567">
        <f t="shared" si="140"/>
        <v>34.299999999999997</v>
      </c>
      <c r="N567">
        <f t="shared" si="141"/>
        <v>1.5</v>
      </c>
      <c r="P567">
        <f t="shared" si="142"/>
        <v>42</v>
      </c>
      <c r="R567">
        <f t="shared" si="143"/>
        <v>0.4</v>
      </c>
      <c r="U567" s="33" t="str">
        <f t="shared" si="125"/>
        <v/>
      </c>
      <c r="W567" s="4">
        <v>300</v>
      </c>
      <c r="X567" s="4">
        <v>900</v>
      </c>
      <c r="AF567" s="4">
        <f t="shared" si="133"/>
        <v>0</v>
      </c>
      <c r="AL567" s="4">
        <f t="shared" si="134"/>
        <v>0</v>
      </c>
      <c r="BA567" s="4">
        <v>655.52</v>
      </c>
      <c r="BB567" s="4">
        <v>2</v>
      </c>
      <c r="BC567" s="4" t="s">
        <v>3145</v>
      </c>
      <c r="BD567" s="4" t="s">
        <v>100</v>
      </c>
      <c r="BE567" s="4" t="s">
        <v>91</v>
      </c>
      <c r="BF567" s="4">
        <v>34.299999999999997</v>
      </c>
      <c r="BG567" s="4">
        <v>1.5</v>
      </c>
      <c r="BI567" s="4">
        <v>42</v>
      </c>
      <c r="BK567" s="4">
        <v>0.4</v>
      </c>
      <c r="BL567" s="4" t="s">
        <v>3147</v>
      </c>
      <c r="BM567" s="4" t="s">
        <v>3146</v>
      </c>
    </row>
    <row r="568" spans="4:65">
      <c r="D568" s="17" t="str">
        <f t="shared" si="139"/>
        <v>ErgänzungsfuttermittelKatzeProbiotikum</v>
      </c>
      <c r="E568" s="4" t="s">
        <v>91</v>
      </c>
      <c r="F568" s="19" t="s">
        <v>90</v>
      </c>
      <c r="G568" s="4" t="s">
        <v>394</v>
      </c>
      <c r="L568" s="4" t="s">
        <v>3160</v>
      </c>
      <c r="M568">
        <f t="shared" si="140"/>
        <v>28.4</v>
      </c>
      <c r="N568">
        <f t="shared" si="141"/>
        <v>5.7</v>
      </c>
      <c r="P568">
        <f t="shared" si="142"/>
        <v>46</v>
      </c>
      <c r="R568">
        <f t="shared" si="143"/>
        <v>0.3</v>
      </c>
      <c r="U568" s="33" t="str">
        <f t="shared" si="125"/>
        <v/>
      </c>
      <c r="AF568" s="4">
        <f t="shared" si="133"/>
        <v>0</v>
      </c>
      <c r="AL568" s="4">
        <f t="shared" si="134"/>
        <v>0</v>
      </c>
      <c r="BA568" s="4">
        <v>347.2</v>
      </c>
      <c r="BB568" s="4">
        <v>1</v>
      </c>
      <c r="BC568" s="4" t="s">
        <v>3160</v>
      </c>
      <c r="BD568" s="4" t="s">
        <v>100</v>
      </c>
      <c r="BE568" s="4" t="s">
        <v>91</v>
      </c>
      <c r="BF568" s="4">
        <v>28.4</v>
      </c>
      <c r="BG568" s="4">
        <v>5.7</v>
      </c>
      <c r="BI568" s="4">
        <v>46</v>
      </c>
      <c r="BK568" s="4">
        <v>0.3</v>
      </c>
      <c r="BL568" s="4" t="s">
        <v>3152</v>
      </c>
      <c r="BM568" s="4" t="s">
        <v>3151</v>
      </c>
    </row>
    <row r="569" spans="4:65">
      <c r="D569" s="17" t="str">
        <f t="shared" si="139"/>
        <v>ErgänzungsfuttermittelKatzeProbiotikum</v>
      </c>
      <c r="E569" s="4" t="s">
        <v>91</v>
      </c>
      <c r="F569" s="19" t="s">
        <v>90</v>
      </c>
      <c r="G569" s="4" t="s">
        <v>394</v>
      </c>
      <c r="L569" s="4" t="s">
        <v>3159</v>
      </c>
      <c r="M569">
        <f t="shared" si="140"/>
        <v>51.45</v>
      </c>
      <c r="N569">
        <f t="shared" si="141"/>
        <v>15.45</v>
      </c>
      <c r="P569">
        <f t="shared" si="142"/>
        <v>1.23</v>
      </c>
      <c r="R569">
        <f t="shared" si="143"/>
        <v>0.41</v>
      </c>
      <c r="S569" s="4">
        <v>5480</v>
      </c>
      <c r="T569" s="4">
        <v>3740</v>
      </c>
      <c r="U569" s="33">
        <f t="shared" si="125"/>
        <v>1.46524064171123</v>
      </c>
      <c r="W569" s="4">
        <v>700</v>
      </c>
      <c r="X569" s="4">
        <v>490</v>
      </c>
      <c r="AF569" s="4">
        <f t="shared" si="133"/>
        <v>0</v>
      </c>
      <c r="AL569" s="4">
        <f t="shared" si="134"/>
        <v>0</v>
      </c>
      <c r="BA569" s="4">
        <v>329.82</v>
      </c>
      <c r="BB569" s="4">
        <v>2</v>
      </c>
      <c r="BC569" s="4" t="s">
        <v>3161</v>
      </c>
      <c r="BD569" s="4" t="s">
        <v>100</v>
      </c>
      <c r="BE569" s="4" t="s">
        <v>91</v>
      </c>
      <c r="BF569" s="4">
        <v>51.45</v>
      </c>
      <c r="BG569" s="4">
        <v>15.45</v>
      </c>
      <c r="BI569" s="4">
        <v>1.23</v>
      </c>
      <c r="BK569" s="4">
        <v>0.41</v>
      </c>
      <c r="BL569" s="4" t="s">
        <v>3163</v>
      </c>
      <c r="BM569" s="4" t="s">
        <v>3162</v>
      </c>
    </row>
    <row r="570" spans="4:65">
      <c r="D570" s="17"/>
      <c r="F570" s="19"/>
      <c r="U570" s="33" t="str">
        <f t="shared" si="125"/>
        <v/>
      </c>
      <c r="AF570" s="4">
        <f t="shared" si="133"/>
        <v>0</v>
      </c>
      <c r="AL570" s="4">
        <f t="shared" si="134"/>
        <v>0</v>
      </c>
    </row>
    <row r="571" spans="4:65">
      <c r="D571" s="17" t="str">
        <f t="shared" ref="D571:D618" si="144">E571&amp;""&amp;F571&amp;""&amp;G571&amp;""&amp;H571</f>
        <v>ErgänzungsfuttermittelKatzeFette und Öle</v>
      </c>
      <c r="E571" s="4" t="str">
        <f t="shared" ref="E571:E610" si="145">BE571</f>
        <v>Ergänzungsfuttermittel</v>
      </c>
      <c r="F571" s="19" t="s">
        <v>90</v>
      </c>
      <c r="G571" s="4" t="s">
        <v>142</v>
      </c>
      <c r="I571" s="21"/>
      <c r="L571" s="4" t="s">
        <v>145</v>
      </c>
      <c r="M571">
        <f t="shared" ref="M571:M611" si="146">BF571</f>
        <v>4.5</v>
      </c>
      <c r="N571">
        <f t="shared" ref="N571:N611" si="147">BG571</f>
        <v>2</v>
      </c>
      <c r="P571">
        <f t="shared" ref="P571:P611" si="148">BI571</f>
        <v>82</v>
      </c>
      <c r="Q571"/>
      <c r="R571">
        <f t="shared" ref="R571:R611" si="149">BK571</f>
        <v>0.1</v>
      </c>
      <c r="U571" s="33" t="str">
        <f t="shared" si="125"/>
        <v/>
      </c>
      <c r="AF571" s="4">
        <f t="shared" ref="AF571:AF600" si="150">AG571*$BO$13</f>
        <v>0</v>
      </c>
      <c r="AL571" s="4">
        <f t="shared" si="134"/>
        <v>0</v>
      </c>
      <c r="AN571" s="4">
        <v>900</v>
      </c>
      <c r="BA571" s="4">
        <v>199.6</v>
      </c>
      <c r="BB571" s="4">
        <v>2.1</v>
      </c>
      <c r="BC571" s="4" t="s">
        <v>146</v>
      </c>
      <c r="BD571" s="4" t="s">
        <v>105</v>
      </c>
      <c r="BE571" s="4" t="s">
        <v>91</v>
      </c>
      <c r="BF571" s="4">
        <v>4.5</v>
      </c>
      <c r="BG571" s="4">
        <v>2</v>
      </c>
      <c r="BI571" s="4">
        <v>82</v>
      </c>
      <c r="BK571" s="4">
        <v>0.1</v>
      </c>
      <c r="BL571" s="4" t="s">
        <v>147</v>
      </c>
      <c r="BM571" s="4" t="s">
        <v>148</v>
      </c>
    </row>
    <row r="572" spans="4:65">
      <c r="D572" s="17" t="str">
        <f t="shared" si="144"/>
        <v>ErgänzungsfuttermittelKatzeFette und Öle</v>
      </c>
      <c r="E572" s="4" t="str">
        <f t="shared" si="145"/>
        <v>Ergänzungsfuttermittel</v>
      </c>
      <c r="F572" s="19" t="s">
        <v>90</v>
      </c>
      <c r="G572" s="4" t="s">
        <v>142</v>
      </c>
      <c r="L572" s="4" t="s">
        <v>149</v>
      </c>
      <c r="M572">
        <f t="shared" si="146"/>
        <v>5</v>
      </c>
      <c r="N572">
        <f t="shared" si="147"/>
        <v>0.5</v>
      </c>
      <c r="P572">
        <f t="shared" si="148"/>
        <v>83</v>
      </c>
      <c r="Q572"/>
      <c r="R572">
        <f t="shared" si="149"/>
        <v>0</v>
      </c>
      <c r="U572" s="33" t="str">
        <f t="shared" si="125"/>
        <v/>
      </c>
      <c r="AF572" s="4">
        <f t="shared" si="150"/>
        <v>0</v>
      </c>
      <c r="AL572" s="4">
        <f t="shared" si="134"/>
        <v>0</v>
      </c>
      <c r="BA572" s="4">
        <v>594.66999999999996</v>
      </c>
      <c r="BB572" s="4">
        <v>1.5</v>
      </c>
      <c r="BC572" s="4" t="s">
        <v>149</v>
      </c>
      <c r="BD572" s="4" t="s">
        <v>105</v>
      </c>
      <c r="BE572" s="4" t="s">
        <v>91</v>
      </c>
      <c r="BF572" s="4">
        <v>5</v>
      </c>
      <c r="BG572" s="4">
        <v>0.5</v>
      </c>
      <c r="BI572" s="4">
        <v>83</v>
      </c>
      <c r="BK572" s="4">
        <v>0</v>
      </c>
      <c r="BL572" s="4" t="s">
        <v>150</v>
      </c>
      <c r="BM572" s="4" t="s">
        <v>151</v>
      </c>
    </row>
    <row r="573" spans="4:65">
      <c r="D573" s="17" t="str">
        <f t="shared" si="144"/>
        <v>ErgänzungsfuttermittelKatzeFette und Öle</v>
      </c>
      <c r="E573" s="4" t="str">
        <f t="shared" si="145"/>
        <v>Ergänzungsfuttermittel</v>
      </c>
      <c r="F573" s="19" t="s">
        <v>90</v>
      </c>
      <c r="G573" s="4" t="s">
        <v>142</v>
      </c>
      <c r="L573" s="4" t="s">
        <v>152</v>
      </c>
      <c r="M573">
        <f t="shared" si="146"/>
        <v>0.1</v>
      </c>
      <c r="N573">
        <f t="shared" si="147"/>
        <v>0</v>
      </c>
      <c r="P573">
        <f t="shared" si="148"/>
        <v>99.4</v>
      </c>
      <c r="Q573"/>
      <c r="R573">
        <f t="shared" si="149"/>
        <v>0.1</v>
      </c>
      <c r="U573" s="33" t="str">
        <f t="shared" si="125"/>
        <v/>
      </c>
      <c r="AF573" s="4">
        <f t="shared" si="150"/>
        <v>0</v>
      </c>
      <c r="AL573" s="4">
        <f t="shared" si="134"/>
        <v>0</v>
      </c>
      <c r="AN573" s="4">
        <v>3.32</v>
      </c>
      <c r="BA573" s="4">
        <v>69.5</v>
      </c>
      <c r="BB573" s="4">
        <v>4</v>
      </c>
      <c r="BC573" s="4" t="s">
        <v>152</v>
      </c>
      <c r="BD573" s="4" t="s">
        <v>105</v>
      </c>
      <c r="BE573" s="4" t="s">
        <v>91</v>
      </c>
      <c r="BF573" s="4">
        <v>0.1</v>
      </c>
      <c r="BG573" s="4">
        <v>0</v>
      </c>
      <c r="BI573" s="4">
        <v>99.4</v>
      </c>
      <c r="BK573" s="4">
        <v>0.1</v>
      </c>
      <c r="BL573" s="4" t="s">
        <v>153</v>
      </c>
      <c r="BM573" s="4" t="s">
        <v>154</v>
      </c>
    </row>
    <row r="574" spans="4:65">
      <c r="D574" s="17" t="str">
        <f t="shared" si="144"/>
        <v>ErgänzungsfuttermittelKatzeFette und Öle</v>
      </c>
      <c r="E574" s="4" t="str">
        <f t="shared" si="145"/>
        <v>Ergänzungsfuttermittel</v>
      </c>
      <c r="F574" s="19" t="s">
        <v>90</v>
      </c>
      <c r="G574" s="4" t="s">
        <v>142</v>
      </c>
      <c r="I574" s="21"/>
      <c r="L574" s="4" t="s">
        <v>227</v>
      </c>
      <c r="M574">
        <f t="shared" si="146"/>
        <v>0</v>
      </c>
      <c r="N574">
        <f t="shared" si="147"/>
        <v>0</v>
      </c>
      <c r="O574"/>
      <c r="P574">
        <f t="shared" si="148"/>
        <v>98</v>
      </c>
      <c r="Q574"/>
      <c r="R574">
        <f t="shared" si="149"/>
        <v>0</v>
      </c>
      <c r="U574" s="33" t="str">
        <f t="shared" si="125"/>
        <v/>
      </c>
      <c r="X574" s="4">
        <v>50</v>
      </c>
      <c r="AF574" s="4">
        <f t="shared" si="150"/>
        <v>6000</v>
      </c>
      <c r="AG574" s="4">
        <v>20000</v>
      </c>
      <c r="AK574" s="4">
        <v>2000</v>
      </c>
      <c r="AL574" s="4">
        <f t="shared" si="134"/>
        <v>50</v>
      </c>
      <c r="BA574" s="4">
        <v>70</v>
      </c>
      <c r="BB574" s="4" t="s">
        <v>229</v>
      </c>
      <c r="BC574" s="4" t="s">
        <v>227</v>
      </c>
      <c r="BD574" s="4" t="s">
        <v>214</v>
      </c>
      <c r="BE574" s="4" t="s">
        <v>91</v>
      </c>
      <c r="BF574" s="4">
        <v>0</v>
      </c>
      <c r="BG574" s="4">
        <v>0</v>
      </c>
      <c r="BI574" s="4">
        <v>98</v>
      </c>
      <c r="BK574" s="4">
        <v>0</v>
      </c>
      <c r="BL574" s="4" t="s">
        <v>3209</v>
      </c>
      <c r="BM574" s="4" t="s">
        <v>228</v>
      </c>
    </row>
    <row r="575" spans="4:65">
      <c r="D575" s="17" t="str">
        <f t="shared" si="144"/>
        <v>ErgänzungsfuttermittelKatzeFette und Öle</v>
      </c>
      <c r="E575" s="4" t="str">
        <f t="shared" si="145"/>
        <v>Ergänzungsfuttermittel</v>
      </c>
      <c r="F575" s="19" t="s">
        <v>90</v>
      </c>
      <c r="G575" s="4" t="s">
        <v>142</v>
      </c>
      <c r="L575" s="4" t="s">
        <v>273</v>
      </c>
      <c r="M575">
        <f t="shared" si="146"/>
        <v>0.1</v>
      </c>
      <c r="N575">
        <f t="shared" si="147"/>
        <v>0.1</v>
      </c>
      <c r="O575"/>
      <c r="P575">
        <f t="shared" si="148"/>
        <v>99.9</v>
      </c>
      <c r="Q575"/>
      <c r="R575">
        <f t="shared" si="149"/>
        <v>0.1</v>
      </c>
      <c r="U575" s="33" t="str">
        <f t="shared" si="125"/>
        <v/>
      </c>
      <c r="AF575" s="4">
        <f t="shared" si="150"/>
        <v>0</v>
      </c>
      <c r="AL575" s="4">
        <f t="shared" si="134"/>
        <v>0</v>
      </c>
      <c r="BA575" s="4">
        <v>41.98</v>
      </c>
      <c r="BC575" s="4" t="s">
        <v>273</v>
      </c>
      <c r="BD575" s="4" t="s">
        <v>269</v>
      </c>
      <c r="BE575" s="4" t="s">
        <v>91</v>
      </c>
      <c r="BF575" s="4">
        <v>0.1</v>
      </c>
      <c r="BG575" s="4">
        <v>0.1</v>
      </c>
      <c r="BI575" s="4">
        <v>99.9</v>
      </c>
      <c r="BK575" s="4">
        <v>0.1</v>
      </c>
      <c r="BL575" s="4" t="s">
        <v>274</v>
      </c>
      <c r="BM575" s="4" t="s">
        <v>275</v>
      </c>
    </row>
    <row r="576" spans="4:65">
      <c r="D576" s="17" t="str">
        <f t="shared" si="144"/>
        <v>ErgänzungsfuttermittelKatzeFette und Öle</v>
      </c>
      <c r="E576" s="4" t="str">
        <f t="shared" si="145"/>
        <v>Ergänzungsfuttermittel</v>
      </c>
      <c r="F576" s="19" t="s">
        <v>90</v>
      </c>
      <c r="G576" s="4" t="s">
        <v>142</v>
      </c>
      <c r="L576" s="4" t="s">
        <v>548</v>
      </c>
      <c r="M576">
        <f t="shared" si="146"/>
        <v>0</v>
      </c>
      <c r="N576">
        <f t="shared" si="147"/>
        <v>0.3</v>
      </c>
      <c r="P576">
        <f t="shared" si="148"/>
        <v>99.6</v>
      </c>
      <c r="R576">
        <f t="shared" si="149"/>
        <v>0</v>
      </c>
      <c r="U576" s="33" t="str">
        <f t="shared" si="125"/>
        <v/>
      </c>
      <c r="AF576" s="4">
        <f t="shared" si="150"/>
        <v>0</v>
      </c>
      <c r="AL576" s="4">
        <f t="shared" si="134"/>
        <v>0</v>
      </c>
      <c r="BA576" s="4">
        <v>94.62</v>
      </c>
      <c r="BB576" s="4">
        <v>2.5</v>
      </c>
      <c r="BC576" s="4" t="s">
        <v>548</v>
      </c>
      <c r="BD576" s="4" t="s">
        <v>539</v>
      </c>
      <c r="BE576" s="4" t="s">
        <v>91</v>
      </c>
      <c r="BF576" s="4">
        <v>0</v>
      </c>
      <c r="BG576" s="4">
        <v>0.3</v>
      </c>
      <c r="BI576" s="4">
        <v>99.6</v>
      </c>
      <c r="BK576" s="4">
        <v>0</v>
      </c>
      <c r="BL576" s="4" t="s">
        <v>549</v>
      </c>
      <c r="BM576" s="4" t="s">
        <v>550</v>
      </c>
    </row>
    <row r="577" spans="4:65">
      <c r="D577" s="17" t="str">
        <f t="shared" si="144"/>
        <v>ErgänzungsfuttermittelKatzeFette und Öle</v>
      </c>
      <c r="E577" s="4" t="str">
        <f t="shared" si="145"/>
        <v>Ergänzungsfuttermittel</v>
      </c>
      <c r="F577" s="19" t="s">
        <v>90</v>
      </c>
      <c r="G577" s="4" t="s">
        <v>142</v>
      </c>
      <c r="I577" s="21"/>
      <c r="L577" s="4" t="s">
        <v>650</v>
      </c>
      <c r="M577">
        <f t="shared" si="146"/>
        <v>0.3</v>
      </c>
      <c r="N577">
        <f t="shared" si="147"/>
        <v>0</v>
      </c>
      <c r="P577">
        <f t="shared" si="148"/>
        <v>99</v>
      </c>
      <c r="R577">
        <f t="shared" si="149"/>
        <v>0</v>
      </c>
      <c r="U577" s="33" t="str">
        <f t="shared" si="125"/>
        <v/>
      </c>
      <c r="AF577" s="4">
        <f t="shared" si="150"/>
        <v>0</v>
      </c>
      <c r="AL577" s="4">
        <f t="shared" si="134"/>
        <v>0</v>
      </c>
      <c r="BA577" s="4">
        <v>83.96</v>
      </c>
      <c r="BC577" s="4" t="s">
        <v>652</v>
      </c>
      <c r="BD577" s="4" t="s">
        <v>646</v>
      </c>
      <c r="BE577" s="4" t="s">
        <v>91</v>
      </c>
      <c r="BF577" s="4">
        <v>0.3</v>
      </c>
      <c r="BI577" s="4">
        <v>99</v>
      </c>
      <c r="BL577" s="4" t="s">
        <v>651</v>
      </c>
      <c r="BM577" s="4" t="s">
        <v>653</v>
      </c>
    </row>
    <row r="578" spans="4:65">
      <c r="D578" s="17" t="str">
        <f t="shared" si="144"/>
        <v>ErgänzungsfuttermittelKatzeFette und Öle</v>
      </c>
      <c r="E578" s="4" t="str">
        <f t="shared" si="145"/>
        <v>Ergänzungsfuttermittel</v>
      </c>
      <c r="F578" s="19" t="s">
        <v>90</v>
      </c>
      <c r="G578" s="4" t="s">
        <v>142</v>
      </c>
      <c r="L578" s="4" t="s">
        <v>732</v>
      </c>
      <c r="M578">
        <f t="shared" si="146"/>
        <v>0</v>
      </c>
      <c r="N578">
        <f t="shared" si="147"/>
        <v>0</v>
      </c>
      <c r="P578">
        <f t="shared" si="148"/>
        <v>100</v>
      </c>
      <c r="R578">
        <f t="shared" si="149"/>
        <v>0</v>
      </c>
      <c r="U578" s="33" t="str">
        <f t="shared" si="125"/>
        <v/>
      </c>
      <c r="AF578" s="4">
        <f t="shared" si="150"/>
        <v>0</v>
      </c>
      <c r="AL578" s="4">
        <f t="shared" si="134"/>
        <v>0</v>
      </c>
      <c r="BA578" s="4">
        <v>83.96</v>
      </c>
      <c r="BB578" s="4">
        <v>1</v>
      </c>
      <c r="BC578" s="4" t="s">
        <v>733</v>
      </c>
      <c r="BD578" s="4" t="s">
        <v>703</v>
      </c>
      <c r="BE578" s="4" t="s">
        <v>91</v>
      </c>
      <c r="BI578" s="4">
        <v>100</v>
      </c>
      <c r="BL578" s="4" t="s">
        <v>735</v>
      </c>
      <c r="BM578" s="4" t="s">
        <v>734</v>
      </c>
    </row>
    <row r="579" spans="4:65">
      <c r="D579" s="17" t="str">
        <f t="shared" si="144"/>
        <v>ErgänzungsfuttermittelKatzeFette und Öle</v>
      </c>
      <c r="E579" s="4" t="str">
        <f t="shared" si="145"/>
        <v>Ergänzungsfuttermittel</v>
      </c>
      <c r="F579" s="19" t="s">
        <v>90</v>
      </c>
      <c r="G579" s="4" t="s">
        <v>142</v>
      </c>
      <c r="L579" s="4" t="s">
        <v>841</v>
      </c>
      <c r="M579">
        <f t="shared" si="146"/>
        <v>1.4</v>
      </c>
      <c r="N579">
        <f t="shared" si="147"/>
        <v>1.6</v>
      </c>
      <c r="P579">
        <f t="shared" si="148"/>
        <v>91.2</v>
      </c>
      <c r="R579">
        <f t="shared" si="149"/>
        <v>0</v>
      </c>
      <c r="U579" s="33" t="str">
        <f t="shared" si="125"/>
        <v/>
      </c>
      <c r="AC579" s="4">
        <v>8</v>
      </c>
      <c r="AF579" s="4">
        <f t="shared" si="150"/>
        <v>0</v>
      </c>
      <c r="AL579" s="4">
        <f t="shared" si="134"/>
        <v>0</v>
      </c>
      <c r="AN579" s="4">
        <v>770</v>
      </c>
      <c r="BA579" s="4">
        <v>71.959999999999994</v>
      </c>
      <c r="BC579" s="4" t="s">
        <v>841</v>
      </c>
      <c r="BD579" s="4" t="s">
        <v>834</v>
      </c>
      <c r="BE579" s="4" t="s">
        <v>91</v>
      </c>
      <c r="BF579" s="4">
        <v>1.4</v>
      </c>
      <c r="BG579" s="4">
        <v>1.6</v>
      </c>
      <c r="BI579" s="4">
        <v>91.2</v>
      </c>
      <c r="BK579" s="4">
        <v>0</v>
      </c>
      <c r="BL579" s="4" t="s">
        <v>843</v>
      </c>
      <c r="BM579" s="4" t="s">
        <v>842</v>
      </c>
    </row>
    <row r="580" spans="4:65">
      <c r="D580" s="17" t="str">
        <f t="shared" si="144"/>
        <v>ErgänzungsfuttermittelKatzeFette und Öle</v>
      </c>
      <c r="E580" s="4" t="str">
        <f t="shared" si="145"/>
        <v>Ergänzungsfuttermittel</v>
      </c>
      <c r="F580" s="19" t="s">
        <v>90</v>
      </c>
      <c r="G580" s="4" t="s">
        <v>142</v>
      </c>
      <c r="L580" s="4" t="s">
        <v>847</v>
      </c>
      <c r="M580">
        <f t="shared" si="146"/>
        <v>1.2</v>
      </c>
      <c r="N580">
        <f t="shared" si="147"/>
        <v>0.97</v>
      </c>
      <c r="P580">
        <f t="shared" si="148"/>
        <v>94.5</v>
      </c>
      <c r="R580">
        <f t="shared" si="149"/>
        <v>0.75</v>
      </c>
      <c r="U580" s="33" t="str">
        <f t="shared" si="125"/>
        <v/>
      </c>
      <c r="AB580" s="4">
        <v>110</v>
      </c>
      <c r="AF580" s="4">
        <f t="shared" si="150"/>
        <v>621.6</v>
      </c>
      <c r="AG580" s="4">
        <v>2072</v>
      </c>
      <c r="AL580" s="4">
        <f t="shared" si="134"/>
        <v>0</v>
      </c>
      <c r="AN580" s="4">
        <v>1110</v>
      </c>
      <c r="AS580" s="4">
        <v>16500</v>
      </c>
      <c r="BA580" s="4">
        <v>71.959999999999994</v>
      </c>
      <c r="BC580" s="4" t="s">
        <v>847</v>
      </c>
      <c r="BD580" s="4" t="s">
        <v>834</v>
      </c>
      <c r="BE580" s="4" t="s">
        <v>91</v>
      </c>
      <c r="BF580" s="4">
        <v>1.2</v>
      </c>
      <c r="BG580" s="4">
        <v>0.97</v>
      </c>
      <c r="BI580" s="4">
        <v>94.5</v>
      </c>
      <c r="BK580" s="4">
        <v>0.75</v>
      </c>
      <c r="BL580" s="4" t="s">
        <v>849</v>
      </c>
      <c r="BM580" s="4" t="s">
        <v>848</v>
      </c>
    </row>
    <row r="581" spans="4:65">
      <c r="D581" s="17" t="str">
        <f t="shared" si="144"/>
        <v>ErgänzungsfuttermittelKatzeFette und Öle</v>
      </c>
      <c r="E581" s="4" t="str">
        <f t="shared" si="145"/>
        <v>Ergänzungsfuttermittel</v>
      </c>
      <c r="F581" s="19" t="s">
        <v>90</v>
      </c>
      <c r="G581" s="4" t="s">
        <v>142</v>
      </c>
      <c r="L581" s="4" t="s">
        <v>906</v>
      </c>
      <c r="M581">
        <f t="shared" si="146"/>
        <v>0</v>
      </c>
      <c r="N581">
        <f t="shared" si="147"/>
        <v>0</v>
      </c>
      <c r="P581">
        <f t="shared" si="148"/>
        <v>99.5</v>
      </c>
      <c r="R581">
        <f t="shared" si="149"/>
        <v>0</v>
      </c>
      <c r="U581" s="33" t="str">
        <f t="shared" ref="U581:U618" si="151">IF(S581="","",S581/T581)</f>
        <v/>
      </c>
      <c r="AF581" s="4">
        <f t="shared" si="150"/>
        <v>0</v>
      </c>
      <c r="AL581" s="4">
        <f t="shared" si="134"/>
        <v>0</v>
      </c>
      <c r="BA581" s="4">
        <v>47.7</v>
      </c>
      <c r="BB581" s="4">
        <v>2</v>
      </c>
      <c r="BC581" s="4" t="s">
        <v>908</v>
      </c>
      <c r="BD581" s="4" t="s">
        <v>907</v>
      </c>
      <c r="BE581" s="4" t="s">
        <v>91</v>
      </c>
      <c r="BI581" s="4">
        <v>99.5</v>
      </c>
      <c r="BL581" s="4" t="s">
        <v>910</v>
      </c>
      <c r="BM581" s="4" t="s">
        <v>909</v>
      </c>
    </row>
    <row r="582" spans="4:65">
      <c r="D582" s="17" t="str">
        <f t="shared" si="144"/>
        <v>ErgänzungsfuttermittelKatzeFette und Öle</v>
      </c>
      <c r="E582" s="4" t="str">
        <f t="shared" si="145"/>
        <v>Ergänzungsfuttermittel</v>
      </c>
      <c r="F582" s="19" t="s">
        <v>90</v>
      </c>
      <c r="G582" s="4" t="s">
        <v>142</v>
      </c>
      <c r="I582" s="21"/>
      <c r="L582" s="4" t="s">
        <v>937</v>
      </c>
      <c r="M582">
        <f t="shared" si="146"/>
        <v>0</v>
      </c>
      <c r="N582">
        <f t="shared" si="147"/>
        <v>0</v>
      </c>
      <c r="P582">
        <f t="shared" si="148"/>
        <v>0</v>
      </c>
      <c r="R582">
        <f t="shared" si="149"/>
        <v>0</v>
      </c>
      <c r="U582" s="33" t="str">
        <f t="shared" si="151"/>
        <v/>
      </c>
      <c r="AF582" s="4">
        <f t="shared" si="150"/>
        <v>0</v>
      </c>
      <c r="AL582" s="4">
        <f t="shared" si="134"/>
        <v>0</v>
      </c>
      <c r="BA582" s="4">
        <v>35.799999999999997</v>
      </c>
      <c r="BC582" s="4" t="s">
        <v>938</v>
      </c>
      <c r="BD582" s="4" t="s">
        <v>939</v>
      </c>
      <c r="BE582" s="4" t="s">
        <v>91</v>
      </c>
      <c r="BL582" s="4" t="s">
        <v>941</v>
      </c>
      <c r="BM582" s="4" t="s">
        <v>940</v>
      </c>
    </row>
    <row r="583" spans="4:65">
      <c r="D583" s="17" t="str">
        <f t="shared" si="144"/>
        <v>ErgänzungsfuttermittelKatzeFette und Öle</v>
      </c>
      <c r="E583" s="4" t="str">
        <f t="shared" si="145"/>
        <v>Ergänzungsfuttermittel</v>
      </c>
      <c r="F583" s="19" t="s">
        <v>90</v>
      </c>
      <c r="G583" s="4" t="s">
        <v>142</v>
      </c>
      <c r="L583" s="4" t="s">
        <v>945</v>
      </c>
      <c r="M583">
        <f t="shared" si="146"/>
        <v>0</v>
      </c>
      <c r="N583">
        <f t="shared" si="147"/>
        <v>0</v>
      </c>
      <c r="P583">
        <f t="shared" si="148"/>
        <v>0</v>
      </c>
      <c r="R583">
        <f t="shared" si="149"/>
        <v>0</v>
      </c>
      <c r="U583" s="33" t="str">
        <f t="shared" si="151"/>
        <v/>
      </c>
      <c r="AF583" s="4">
        <f t="shared" si="150"/>
        <v>0</v>
      </c>
      <c r="AL583" s="4">
        <f t="shared" si="134"/>
        <v>0</v>
      </c>
      <c r="BA583" s="4">
        <v>39.979999999999997</v>
      </c>
      <c r="BC583" s="4" t="s">
        <v>946</v>
      </c>
      <c r="BD583" s="4" t="s">
        <v>942</v>
      </c>
      <c r="BE583" s="4" t="s">
        <v>91</v>
      </c>
      <c r="BL583" s="4" t="s">
        <v>948</v>
      </c>
      <c r="BM583" s="4" t="s">
        <v>947</v>
      </c>
    </row>
    <row r="584" spans="4:65">
      <c r="D584" s="17" t="str">
        <f t="shared" si="144"/>
        <v>ErgänzungsfuttermittelKatzeFette und Öle</v>
      </c>
      <c r="E584" s="4" t="str">
        <f t="shared" si="145"/>
        <v>Ergänzungsfuttermittel</v>
      </c>
      <c r="F584" s="19" t="s">
        <v>90</v>
      </c>
      <c r="G584" s="4" t="s">
        <v>142</v>
      </c>
      <c r="L584" s="4" t="s">
        <v>1000</v>
      </c>
      <c r="M584">
        <f t="shared" si="146"/>
        <v>0</v>
      </c>
      <c r="N584">
        <f t="shared" si="147"/>
        <v>0</v>
      </c>
      <c r="P584">
        <f t="shared" si="148"/>
        <v>99</v>
      </c>
      <c r="R584">
        <f t="shared" si="149"/>
        <v>0</v>
      </c>
      <c r="U584" s="33" t="str">
        <f t="shared" si="151"/>
        <v/>
      </c>
      <c r="AF584" s="4">
        <f t="shared" si="150"/>
        <v>0</v>
      </c>
      <c r="AL584" s="4">
        <f t="shared" si="134"/>
        <v>0</v>
      </c>
      <c r="BA584" s="4">
        <v>49.8</v>
      </c>
      <c r="BB584" s="4">
        <v>1</v>
      </c>
      <c r="BC584" s="4" t="s">
        <v>1001</v>
      </c>
      <c r="BD584" s="4" t="s">
        <v>997</v>
      </c>
      <c r="BE584" s="4" t="s">
        <v>91</v>
      </c>
      <c r="BI584" s="4">
        <v>99</v>
      </c>
      <c r="BL584" s="4" t="s">
        <v>1002</v>
      </c>
      <c r="BM584" s="4" t="s">
        <v>1003</v>
      </c>
    </row>
    <row r="585" spans="4:65">
      <c r="D585" s="17" t="str">
        <f t="shared" si="144"/>
        <v>ErgänzungsfuttermittelKatzeFette und Öle</v>
      </c>
      <c r="E585" s="4" t="str">
        <f t="shared" si="145"/>
        <v>Ergänzungsfuttermittel</v>
      </c>
      <c r="F585" s="19" t="s">
        <v>90</v>
      </c>
      <c r="G585" s="4" t="s">
        <v>142</v>
      </c>
      <c r="L585" s="4" t="s">
        <v>1076</v>
      </c>
      <c r="M585">
        <f t="shared" si="146"/>
        <v>0</v>
      </c>
      <c r="N585">
        <f t="shared" si="147"/>
        <v>0</v>
      </c>
      <c r="P585">
        <f t="shared" si="148"/>
        <v>100</v>
      </c>
      <c r="R585">
        <f t="shared" si="149"/>
        <v>0</v>
      </c>
      <c r="U585" s="33" t="str">
        <f t="shared" si="151"/>
        <v/>
      </c>
      <c r="AF585" s="4">
        <f t="shared" si="150"/>
        <v>0</v>
      </c>
      <c r="AL585" s="4">
        <f t="shared" si="134"/>
        <v>0</v>
      </c>
      <c r="BA585" s="4">
        <v>77.2</v>
      </c>
      <c r="BC585" s="4" t="s">
        <v>1078</v>
      </c>
      <c r="BD585" s="4" t="s">
        <v>1077</v>
      </c>
      <c r="BE585" s="4" t="s">
        <v>91</v>
      </c>
      <c r="BI585" s="4">
        <v>100</v>
      </c>
      <c r="BL585" s="4" t="s">
        <v>1080</v>
      </c>
      <c r="BM585" s="4" t="s">
        <v>1079</v>
      </c>
    </row>
    <row r="586" spans="4:65">
      <c r="D586" s="17" t="str">
        <f t="shared" si="144"/>
        <v>ErgänzungsfuttermittelKatzeFette und Öle</v>
      </c>
      <c r="E586" s="4" t="str">
        <f t="shared" si="145"/>
        <v>Ergänzungsfuttermittel</v>
      </c>
      <c r="F586" s="19" t="s">
        <v>90</v>
      </c>
      <c r="G586" s="4" t="s">
        <v>142</v>
      </c>
      <c r="L586" s="4" t="s">
        <v>1076</v>
      </c>
      <c r="M586">
        <f t="shared" si="146"/>
        <v>0</v>
      </c>
      <c r="N586">
        <f t="shared" si="147"/>
        <v>0</v>
      </c>
      <c r="P586">
        <f t="shared" si="148"/>
        <v>100</v>
      </c>
      <c r="R586">
        <f t="shared" si="149"/>
        <v>0</v>
      </c>
      <c r="U586" s="33" t="str">
        <f t="shared" si="151"/>
        <v/>
      </c>
      <c r="AF586" s="4">
        <f t="shared" si="150"/>
        <v>0</v>
      </c>
      <c r="AL586" s="4">
        <f t="shared" si="134"/>
        <v>0</v>
      </c>
      <c r="BA586" s="4">
        <v>86</v>
      </c>
      <c r="BC586" s="4" t="s">
        <v>1081</v>
      </c>
      <c r="BD586" s="4" t="s">
        <v>1077</v>
      </c>
      <c r="BE586" s="4" t="s">
        <v>91</v>
      </c>
      <c r="BI586" s="4">
        <v>100</v>
      </c>
      <c r="BL586" s="4" t="s">
        <v>1083</v>
      </c>
      <c r="BM586" s="4" t="s">
        <v>1082</v>
      </c>
    </row>
    <row r="587" spans="4:65">
      <c r="D587" s="17" t="str">
        <f t="shared" si="144"/>
        <v>ErgänzungsfuttermittelKatzeFette und Öle</v>
      </c>
      <c r="E587" s="4" t="str">
        <f t="shared" si="145"/>
        <v>Ergänzungsfuttermittel</v>
      </c>
      <c r="F587" s="19" t="s">
        <v>90</v>
      </c>
      <c r="G587" s="4" t="s">
        <v>142</v>
      </c>
      <c r="L587" s="4" t="s">
        <v>1197</v>
      </c>
      <c r="M587">
        <f t="shared" si="146"/>
        <v>0</v>
      </c>
      <c r="N587">
        <f t="shared" si="147"/>
        <v>0</v>
      </c>
      <c r="P587">
        <f t="shared" si="148"/>
        <v>100</v>
      </c>
      <c r="R587">
        <f t="shared" si="149"/>
        <v>0</v>
      </c>
      <c r="U587" s="33" t="str">
        <f t="shared" si="151"/>
        <v/>
      </c>
      <c r="AF587" s="4">
        <f t="shared" si="150"/>
        <v>0</v>
      </c>
      <c r="AL587" s="4">
        <f t="shared" ref="AL587:AL617" si="152">AK587*$BO$14</f>
        <v>0</v>
      </c>
      <c r="BA587" s="4">
        <v>75.599999999999994</v>
      </c>
      <c r="BC587" s="4" t="s">
        <v>1197</v>
      </c>
      <c r="BD587" s="4" t="s">
        <v>1199</v>
      </c>
      <c r="BE587" s="4" t="s">
        <v>91</v>
      </c>
      <c r="BI587" s="4">
        <v>100</v>
      </c>
      <c r="BL587" s="4" t="s">
        <v>1200</v>
      </c>
      <c r="BM587" s="4" t="s">
        <v>1198</v>
      </c>
    </row>
    <row r="588" spans="4:65">
      <c r="D588" s="17" t="str">
        <f t="shared" si="144"/>
        <v>ErgänzungsfuttermittelKatzeFette und Öle</v>
      </c>
      <c r="E588" s="4" t="str">
        <f t="shared" si="145"/>
        <v>Ergänzungsfuttermittel</v>
      </c>
      <c r="F588" s="19" t="s">
        <v>90</v>
      </c>
      <c r="G588" s="4" t="s">
        <v>142</v>
      </c>
      <c r="L588" s="4" t="s">
        <v>468</v>
      </c>
      <c r="M588">
        <f t="shared" si="146"/>
        <v>0</v>
      </c>
      <c r="N588">
        <f t="shared" si="147"/>
        <v>0.1</v>
      </c>
      <c r="P588">
        <f t="shared" si="148"/>
        <v>99.9</v>
      </c>
      <c r="R588">
        <f t="shared" si="149"/>
        <v>0</v>
      </c>
      <c r="U588" s="33" t="str">
        <f t="shared" si="151"/>
        <v/>
      </c>
      <c r="AF588" s="4">
        <f t="shared" si="150"/>
        <v>0</v>
      </c>
      <c r="AL588" s="4">
        <f t="shared" si="152"/>
        <v>0</v>
      </c>
      <c r="BA588" s="4">
        <v>79.599999999999994</v>
      </c>
      <c r="BC588" s="4" t="s">
        <v>1201</v>
      </c>
      <c r="BD588" s="4" t="s">
        <v>1173</v>
      </c>
      <c r="BE588" s="4" t="s">
        <v>91</v>
      </c>
      <c r="BG588" s="4">
        <v>0.1</v>
      </c>
      <c r="BI588" s="4">
        <v>99.9</v>
      </c>
      <c r="BL588" s="4" t="s">
        <v>1202</v>
      </c>
      <c r="BM588" s="4" t="s">
        <v>1203</v>
      </c>
    </row>
    <row r="589" spans="4:65">
      <c r="D589" s="17" t="str">
        <f t="shared" si="144"/>
        <v>ErgänzungsfuttermittelKatzeFette und Öle</v>
      </c>
      <c r="E589" s="4" t="str">
        <f t="shared" si="145"/>
        <v>Ergänzungsfuttermittel</v>
      </c>
      <c r="F589" s="19" t="s">
        <v>90</v>
      </c>
      <c r="G589" s="4" t="s">
        <v>142</v>
      </c>
      <c r="L589" s="4" t="s">
        <v>1247</v>
      </c>
      <c r="M589">
        <f t="shared" si="146"/>
        <v>0.4</v>
      </c>
      <c r="N589">
        <f t="shared" si="147"/>
        <v>0.3</v>
      </c>
      <c r="P589">
        <f t="shared" si="148"/>
        <v>99.6</v>
      </c>
      <c r="R589">
        <f t="shared" si="149"/>
        <v>0.5</v>
      </c>
      <c r="U589" s="33" t="str">
        <f t="shared" si="151"/>
        <v/>
      </c>
      <c r="AF589" s="4">
        <f t="shared" si="150"/>
        <v>0</v>
      </c>
      <c r="AL589" s="4">
        <f t="shared" si="152"/>
        <v>0</v>
      </c>
      <c r="BA589" s="4">
        <v>84.45</v>
      </c>
      <c r="BC589" s="4" t="s">
        <v>1248</v>
      </c>
      <c r="BD589" s="4" t="s">
        <v>1217</v>
      </c>
      <c r="BE589" s="4" t="s">
        <v>91</v>
      </c>
      <c r="BF589" s="4">
        <v>0.4</v>
      </c>
      <c r="BG589" s="4">
        <v>0.3</v>
      </c>
      <c r="BI589" s="4">
        <v>99.6</v>
      </c>
      <c r="BK589" s="4">
        <v>0.5</v>
      </c>
      <c r="BL589" s="4" t="s">
        <v>1250</v>
      </c>
      <c r="BM589" s="4" t="s">
        <v>1249</v>
      </c>
    </row>
    <row r="590" spans="4:65">
      <c r="D590" s="17" t="str">
        <f t="shared" si="144"/>
        <v>ErgänzungsfuttermittelKatzeFette und Öle</v>
      </c>
      <c r="E590" s="4" t="str">
        <f t="shared" si="145"/>
        <v>Ergänzungsfuttermittel</v>
      </c>
      <c r="F590" s="19" t="s">
        <v>90</v>
      </c>
      <c r="G590" s="4" t="s">
        <v>142</v>
      </c>
      <c r="L590" s="4" t="s">
        <v>1477</v>
      </c>
      <c r="M590">
        <f t="shared" si="146"/>
        <v>0</v>
      </c>
      <c r="N590">
        <f t="shared" si="147"/>
        <v>0</v>
      </c>
      <c r="P590">
        <f t="shared" si="148"/>
        <v>99.22</v>
      </c>
      <c r="R590">
        <f t="shared" si="149"/>
        <v>0</v>
      </c>
      <c r="U590" s="33" t="str">
        <f t="shared" si="151"/>
        <v/>
      </c>
      <c r="AF590" s="4">
        <f t="shared" si="150"/>
        <v>0</v>
      </c>
      <c r="AL590" s="4">
        <f t="shared" si="152"/>
        <v>0</v>
      </c>
      <c r="BA590" s="4">
        <v>298</v>
      </c>
      <c r="BC590" s="4" t="s">
        <v>1477</v>
      </c>
      <c r="BD590" s="4" t="s">
        <v>1415</v>
      </c>
      <c r="BE590" s="4" t="s">
        <v>91</v>
      </c>
      <c r="BI590" s="4">
        <v>99.22</v>
      </c>
      <c r="BL590" s="4" t="s">
        <v>1479</v>
      </c>
      <c r="BM590" s="4" t="s">
        <v>1478</v>
      </c>
    </row>
    <row r="591" spans="4:65">
      <c r="D591" s="17" t="str">
        <f t="shared" si="144"/>
        <v>ErgänzungsfuttermittelKatzeFette und Öle</v>
      </c>
      <c r="E591" s="4" t="str">
        <f t="shared" si="145"/>
        <v>Ergänzungsfuttermittel</v>
      </c>
      <c r="F591" s="19" t="s">
        <v>90</v>
      </c>
      <c r="G591" s="4" t="s">
        <v>142</v>
      </c>
      <c r="L591" s="4" t="s">
        <v>1517</v>
      </c>
      <c r="M591">
        <f t="shared" si="146"/>
        <v>0.6</v>
      </c>
      <c r="N591">
        <f t="shared" si="147"/>
        <v>1.7</v>
      </c>
      <c r="P591">
        <f t="shared" si="148"/>
        <v>93.6</v>
      </c>
      <c r="R591">
        <f t="shared" si="149"/>
        <v>2.9</v>
      </c>
      <c r="U591" s="33" t="str">
        <f t="shared" si="151"/>
        <v/>
      </c>
      <c r="AF591" s="4">
        <f t="shared" si="150"/>
        <v>0</v>
      </c>
      <c r="AL591" s="4">
        <f t="shared" si="152"/>
        <v>0</v>
      </c>
      <c r="BB591" s="4">
        <v>0.5</v>
      </c>
      <c r="BC591" s="4" t="s">
        <v>1517</v>
      </c>
      <c r="BD591" s="4" t="s">
        <v>1513</v>
      </c>
      <c r="BE591" s="4" t="s">
        <v>91</v>
      </c>
      <c r="BF591" s="4">
        <v>0.6</v>
      </c>
      <c r="BG591" s="4">
        <v>1.7</v>
      </c>
      <c r="BI591" s="4">
        <v>93.6</v>
      </c>
      <c r="BK591" s="4">
        <v>2.9</v>
      </c>
      <c r="BL591" s="4" t="s">
        <v>1519</v>
      </c>
      <c r="BM591" s="4" t="s">
        <v>1518</v>
      </c>
    </row>
    <row r="592" spans="4:65">
      <c r="D592" s="17" t="str">
        <f t="shared" si="144"/>
        <v>ErgänzungsfuttermittelKatzeFette und Öle</v>
      </c>
      <c r="E592" s="4" t="str">
        <f t="shared" si="145"/>
        <v>Ergänzungsfuttermittel</v>
      </c>
      <c r="F592" s="19" t="s">
        <v>90</v>
      </c>
      <c r="G592" s="4" t="s">
        <v>142</v>
      </c>
      <c r="L592" s="4" t="s">
        <v>1831</v>
      </c>
      <c r="M592">
        <f t="shared" si="146"/>
        <v>0</v>
      </c>
      <c r="N592">
        <f t="shared" si="147"/>
        <v>0</v>
      </c>
      <c r="P592">
        <f t="shared" si="148"/>
        <v>99.7</v>
      </c>
      <c r="R592">
        <f t="shared" si="149"/>
        <v>0</v>
      </c>
      <c r="U592" s="33" t="str">
        <f t="shared" si="151"/>
        <v/>
      </c>
      <c r="AF592" s="4">
        <f t="shared" si="150"/>
        <v>0</v>
      </c>
      <c r="AL592" s="4">
        <f t="shared" si="152"/>
        <v>0</v>
      </c>
      <c r="AN592" s="4">
        <v>67</v>
      </c>
      <c r="BA592" s="4">
        <v>12.65</v>
      </c>
      <c r="BB592" s="4">
        <v>1</v>
      </c>
      <c r="BC592" s="4" t="s">
        <v>1831</v>
      </c>
      <c r="BD592" s="4" t="s">
        <v>1826</v>
      </c>
      <c r="BE592" s="4" t="s">
        <v>91</v>
      </c>
      <c r="BI592" s="4">
        <v>99.7</v>
      </c>
      <c r="BL592" s="4" t="s">
        <v>1833</v>
      </c>
      <c r="BM592" s="4" t="s">
        <v>1832</v>
      </c>
    </row>
    <row r="593" spans="4:65">
      <c r="D593" s="17" t="str">
        <f t="shared" si="144"/>
        <v>ErgänzungsfuttermittelKatzeFette und Öle</v>
      </c>
      <c r="E593" s="4" t="str">
        <f t="shared" si="145"/>
        <v>Ergänzungsfuttermittel</v>
      </c>
      <c r="F593" s="19" t="s">
        <v>90</v>
      </c>
      <c r="G593" s="4" t="s">
        <v>142</v>
      </c>
      <c r="L593" s="4" t="s">
        <v>945</v>
      </c>
      <c r="M593">
        <f t="shared" si="146"/>
        <v>0</v>
      </c>
      <c r="N593">
        <f t="shared" si="147"/>
        <v>0</v>
      </c>
      <c r="P593">
        <f t="shared" si="148"/>
        <v>92</v>
      </c>
      <c r="R593">
        <f t="shared" si="149"/>
        <v>0</v>
      </c>
      <c r="U593" s="33" t="str">
        <f t="shared" si="151"/>
        <v/>
      </c>
      <c r="AF593" s="4">
        <f t="shared" si="150"/>
        <v>0</v>
      </c>
      <c r="AL593" s="4">
        <f t="shared" si="152"/>
        <v>0</v>
      </c>
      <c r="AN593" s="4">
        <v>67</v>
      </c>
      <c r="BA593" s="4">
        <v>12.32</v>
      </c>
      <c r="BB593" s="4">
        <v>1</v>
      </c>
      <c r="BC593" s="4" t="s">
        <v>1849</v>
      </c>
      <c r="BD593" s="4" t="s">
        <v>1826</v>
      </c>
      <c r="BE593" s="4" t="s">
        <v>91</v>
      </c>
      <c r="BI593" s="4">
        <v>92</v>
      </c>
      <c r="BL593" s="4" t="s">
        <v>1851</v>
      </c>
      <c r="BM593" s="4" t="s">
        <v>1850</v>
      </c>
    </row>
    <row r="594" spans="4:65">
      <c r="D594" s="17" t="str">
        <f t="shared" si="144"/>
        <v>ErgänzungsfuttermittelKatzeFette und Öle</v>
      </c>
      <c r="E594" s="4" t="str">
        <f t="shared" si="145"/>
        <v>Ergänzungsfuttermittel</v>
      </c>
      <c r="F594" s="19" t="s">
        <v>90</v>
      </c>
      <c r="G594" s="4" t="s">
        <v>142</v>
      </c>
      <c r="L594" s="4" t="s">
        <v>2026</v>
      </c>
      <c r="M594">
        <f t="shared" si="146"/>
        <v>0</v>
      </c>
      <c r="N594">
        <f t="shared" si="147"/>
        <v>0</v>
      </c>
      <c r="P594">
        <f t="shared" si="148"/>
        <v>99</v>
      </c>
      <c r="R594">
        <f t="shared" si="149"/>
        <v>0</v>
      </c>
      <c r="U594" s="33" t="str">
        <f t="shared" si="151"/>
        <v/>
      </c>
      <c r="AF594" s="4">
        <f t="shared" si="150"/>
        <v>0</v>
      </c>
      <c r="AL594" s="4">
        <f t="shared" si="152"/>
        <v>0</v>
      </c>
      <c r="BA594" s="4">
        <v>116</v>
      </c>
      <c r="BC594" s="4" t="s">
        <v>2026</v>
      </c>
      <c r="BD594" s="4" t="s">
        <v>2020</v>
      </c>
      <c r="BE594" s="4" t="s">
        <v>91</v>
      </c>
      <c r="BI594" s="4">
        <v>99</v>
      </c>
      <c r="BL594" s="4" t="s">
        <v>2028</v>
      </c>
      <c r="BM594" s="4" t="s">
        <v>2027</v>
      </c>
    </row>
    <row r="595" spans="4:65">
      <c r="D595" s="17" t="str">
        <f t="shared" si="144"/>
        <v>ErgänzungsfuttermittelKatzeFette und Öle</v>
      </c>
      <c r="E595" s="4" t="str">
        <f t="shared" si="145"/>
        <v>Ergänzungsfuttermittel</v>
      </c>
      <c r="F595" s="19" t="s">
        <v>90</v>
      </c>
      <c r="G595" s="4" t="s">
        <v>142</v>
      </c>
      <c r="L595" s="4" t="s">
        <v>2031</v>
      </c>
      <c r="M595">
        <f t="shared" si="146"/>
        <v>0</v>
      </c>
      <c r="N595">
        <f t="shared" si="147"/>
        <v>0</v>
      </c>
      <c r="P595">
        <f t="shared" si="148"/>
        <v>99.9</v>
      </c>
      <c r="R595">
        <f t="shared" si="149"/>
        <v>0</v>
      </c>
      <c r="U595" s="33" t="str">
        <f t="shared" si="151"/>
        <v/>
      </c>
      <c r="AF595" s="4">
        <f t="shared" si="150"/>
        <v>0</v>
      </c>
      <c r="AL595" s="4">
        <f t="shared" si="152"/>
        <v>0</v>
      </c>
      <c r="BA595" s="4">
        <v>232</v>
      </c>
      <c r="BC595" s="4" t="s">
        <v>2031</v>
      </c>
      <c r="BD595" s="4" t="s">
        <v>2020</v>
      </c>
      <c r="BE595" s="4" t="s">
        <v>91</v>
      </c>
      <c r="BI595" s="4">
        <v>99.9</v>
      </c>
      <c r="BL595" s="4" t="s">
        <v>2033</v>
      </c>
      <c r="BM595" s="4" t="s">
        <v>2032</v>
      </c>
    </row>
    <row r="596" spans="4:65">
      <c r="D596" s="17" t="str">
        <f t="shared" si="144"/>
        <v>ErgänzungsfuttermittelKatzeFette und Öle</v>
      </c>
      <c r="E596" s="4" t="str">
        <f t="shared" si="145"/>
        <v>Ergänzungsfuttermittel</v>
      </c>
      <c r="F596" s="19" t="s">
        <v>90</v>
      </c>
      <c r="G596" s="4" t="s">
        <v>142</v>
      </c>
      <c r="L596" s="4" t="s">
        <v>2056</v>
      </c>
      <c r="M596">
        <f t="shared" si="146"/>
        <v>0</v>
      </c>
      <c r="N596">
        <f t="shared" si="147"/>
        <v>0</v>
      </c>
      <c r="P596">
        <f t="shared" si="148"/>
        <v>99</v>
      </c>
      <c r="R596">
        <f t="shared" si="149"/>
        <v>0</v>
      </c>
      <c r="U596" s="33" t="str">
        <f t="shared" si="151"/>
        <v/>
      </c>
      <c r="AF596" s="4">
        <f t="shared" si="150"/>
        <v>0</v>
      </c>
      <c r="AL596" s="4">
        <f t="shared" si="152"/>
        <v>0</v>
      </c>
      <c r="BA596" s="4">
        <v>232</v>
      </c>
      <c r="BC596" s="4" t="s">
        <v>2056</v>
      </c>
      <c r="BD596" s="4" t="s">
        <v>2020</v>
      </c>
      <c r="BE596" s="4" t="s">
        <v>91</v>
      </c>
      <c r="BI596" s="4">
        <v>99</v>
      </c>
      <c r="BL596" s="4" t="s">
        <v>2058</v>
      </c>
      <c r="BM596" s="4" t="s">
        <v>2057</v>
      </c>
    </row>
    <row r="597" spans="4:65">
      <c r="D597" s="17" t="str">
        <f t="shared" si="144"/>
        <v>ErgänzungsfuttermittelKatzeFette und Öle</v>
      </c>
      <c r="E597" s="4" t="str">
        <f t="shared" si="145"/>
        <v>Ergänzungsfuttermittel</v>
      </c>
      <c r="F597" s="19" t="s">
        <v>90</v>
      </c>
      <c r="G597" s="4" t="s">
        <v>142</v>
      </c>
      <c r="L597" s="4" t="s">
        <v>2118</v>
      </c>
      <c r="M597">
        <f t="shared" si="146"/>
        <v>0</v>
      </c>
      <c r="N597">
        <f t="shared" si="147"/>
        <v>0</v>
      </c>
      <c r="P597">
        <f t="shared" si="148"/>
        <v>92</v>
      </c>
      <c r="R597">
        <f t="shared" si="149"/>
        <v>0</v>
      </c>
      <c r="U597" s="33" t="str">
        <f t="shared" si="151"/>
        <v/>
      </c>
      <c r="AF597" s="4">
        <f t="shared" si="150"/>
        <v>0</v>
      </c>
      <c r="AL597" s="4">
        <f t="shared" si="152"/>
        <v>0</v>
      </c>
      <c r="AN597" s="4">
        <v>670</v>
      </c>
      <c r="BA597" s="4">
        <v>71</v>
      </c>
      <c r="BB597" s="4">
        <v>0.8</v>
      </c>
      <c r="BC597" s="4" t="s">
        <v>2118</v>
      </c>
      <c r="BD597" s="4" t="s">
        <v>2116</v>
      </c>
      <c r="BE597" s="4" t="s">
        <v>91</v>
      </c>
      <c r="BI597" s="4">
        <v>92</v>
      </c>
      <c r="BL597" s="4" t="s">
        <v>2120</v>
      </c>
      <c r="BM597" s="4" t="s">
        <v>2119</v>
      </c>
    </row>
    <row r="598" spans="4:65">
      <c r="D598" s="17" t="str">
        <f t="shared" si="144"/>
        <v>ErgänzungsfuttermittelKatzeFette und Öle</v>
      </c>
      <c r="E598" s="4" t="str">
        <f t="shared" si="145"/>
        <v>Ergänzungsfuttermittel</v>
      </c>
      <c r="F598" s="19" t="s">
        <v>90</v>
      </c>
      <c r="G598" s="4" t="s">
        <v>142</v>
      </c>
      <c r="L598" s="4" t="s">
        <v>2194</v>
      </c>
      <c r="M598">
        <f t="shared" si="146"/>
        <v>0</v>
      </c>
      <c r="N598">
        <f t="shared" si="147"/>
        <v>0</v>
      </c>
      <c r="P598">
        <f t="shared" si="148"/>
        <v>0</v>
      </c>
      <c r="R598">
        <f t="shared" si="149"/>
        <v>0</v>
      </c>
      <c r="U598" s="33" t="str">
        <f t="shared" si="151"/>
        <v/>
      </c>
      <c r="AF598" s="4">
        <f t="shared" si="150"/>
        <v>0</v>
      </c>
      <c r="AL598" s="4">
        <f t="shared" si="152"/>
        <v>0</v>
      </c>
      <c r="BA598" s="4">
        <v>57</v>
      </c>
      <c r="BB598" s="4">
        <v>0.8</v>
      </c>
      <c r="BC598" s="4" t="s">
        <v>2191</v>
      </c>
      <c r="BD598" s="4" t="s">
        <v>2188</v>
      </c>
      <c r="BE598" s="4" t="s">
        <v>91</v>
      </c>
      <c r="BL598" s="4" t="s">
        <v>2193</v>
      </c>
      <c r="BM598" s="4" t="s">
        <v>2192</v>
      </c>
    </row>
    <row r="599" spans="4:65">
      <c r="D599" s="17" t="str">
        <f t="shared" si="144"/>
        <v>ErgänzungsfuttermittelKatzeFette und Öle</v>
      </c>
      <c r="E599" s="4" t="str">
        <f t="shared" si="145"/>
        <v>Ergänzungsfuttermittel</v>
      </c>
      <c r="F599" s="19" t="s">
        <v>90</v>
      </c>
      <c r="G599" s="4" t="s">
        <v>142</v>
      </c>
      <c r="L599" s="4" t="s">
        <v>2195</v>
      </c>
      <c r="M599">
        <f t="shared" si="146"/>
        <v>0</v>
      </c>
      <c r="N599">
        <f t="shared" si="147"/>
        <v>0</v>
      </c>
      <c r="P599">
        <f t="shared" si="148"/>
        <v>0</v>
      </c>
      <c r="R599">
        <f t="shared" si="149"/>
        <v>0</v>
      </c>
      <c r="U599" s="33" t="str">
        <f t="shared" si="151"/>
        <v/>
      </c>
      <c r="AF599" s="4">
        <f t="shared" si="150"/>
        <v>0</v>
      </c>
      <c r="AL599" s="4">
        <f t="shared" si="152"/>
        <v>0</v>
      </c>
      <c r="BA599" s="4">
        <v>57</v>
      </c>
      <c r="BB599" s="4">
        <v>0.8</v>
      </c>
      <c r="BC599" s="4" t="s">
        <v>2195</v>
      </c>
      <c r="BD599" s="4" t="s">
        <v>2188</v>
      </c>
      <c r="BE599" s="4" t="s">
        <v>91</v>
      </c>
      <c r="BL599" s="4" t="s">
        <v>2196</v>
      </c>
      <c r="BM599" s="4" t="s">
        <v>2197</v>
      </c>
    </row>
    <row r="600" spans="4:65">
      <c r="D600" s="17" t="str">
        <f t="shared" si="144"/>
        <v>ErgänzungsfuttermittelKatzeFette und Öle</v>
      </c>
      <c r="E600" s="4" t="str">
        <f t="shared" si="145"/>
        <v>Ergänzungsfuttermittel</v>
      </c>
      <c r="F600" s="19" t="s">
        <v>90</v>
      </c>
      <c r="G600" s="4" t="s">
        <v>142</v>
      </c>
      <c r="L600" s="4" t="s">
        <v>2326</v>
      </c>
      <c r="M600">
        <f t="shared" si="146"/>
        <v>0</v>
      </c>
      <c r="N600">
        <f t="shared" si="147"/>
        <v>0</v>
      </c>
      <c r="P600">
        <f t="shared" si="148"/>
        <v>100</v>
      </c>
      <c r="R600">
        <f t="shared" si="149"/>
        <v>0</v>
      </c>
      <c r="U600" s="33" t="str">
        <f t="shared" si="151"/>
        <v/>
      </c>
      <c r="AF600" s="4">
        <f t="shared" si="150"/>
        <v>0</v>
      </c>
      <c r="AL600" s="4">
        <f t="shared" si="152"/>
        <v>0</v>
      </c>
      <c r="AN600" s="4">
        <v>5.7</v>
      </c>
      <c r="BA600" s="4">
        <v>154.83000000000001</v>
      </c>
      <c r="BB600" s="4">
        <v>1.5</v>
      </c>
      <c r="BC600" s="4" t="s">
        <v>2326</v>
      </c>
      <c r="BD600" s="4" t="s">
        <v>2322</v>
      </c>
      <c r="BE600" s="4" t="s">
        <v>91</v>
      </c>
      <c r="BI600" s="4">
        <v>100</v>
      </c>
      <c r="BL600" s="4" t="s">
        <v>2328</v>
      </c>
      <c r="BM600" s="4" t="s">
        <v>2327</v>
      </c>
    </row>
    <row r="601" spans="4:65">
      <c r="D601" s="17" t="str">
        <f t="shared" si="144"/>
        <v>ErgänzungsfuttermittelKatzeFette und Öle</v>
      </c>
      <c r="E601" s="4" t="str">
        <f t="shared" si="145"/>
        <v>Ergänzungsfuttermittel</v>
      </c>
      <c r="F601" s="19" t="s">
        <v>90</v>
      </c>
      <c r="G601" s="4" t="s">
        <v>142</v>
      </c>
      <c r="L601" s="4" t="s">
        <v>2337</v>
      </c>
      <c r="M601">
        <f t="shared" si="146"/>
        <v>0</v>
      </c>
      <c r="N601">
        <f t="shared" si="147"/>
        <v>0</v>
      </c>
      <c r="P601">
        <f t="shared" si="148"/>
        <v>100</v>
      </c>
      <c r="R601">
        <f t="shared" si="149"/>
        <v>0</v>
      </c>
      <c r="U601" s="33" t="str">
        <f t="shared" si="151"/>
        <v/>
      </c>
      <c r="AF601" s="4">
        <f t="shared" ref="AF601:AF617" si="153">AG601*$BO$13</f>
        <v>0</v>
      </c>
      <c r="AL601" s="4">
        <f t="shared" si="152"/>
        <v>0</v>
      </c>
      <c r="AN601" s="4">
        <v>5.7</v>
      </c>
      <c r="BA601" s="4">
        <v>84.08</v>
      </c>
      <c r="BB601" s="4">
        <v>1.5</v>
      </c>
      <c r="BC601" s="4" t="s">
        <v>2337</v>
      </c>
      <c r="BD601" s="4" t="s">
        <v>2322</v>
      </c>
      <c r="BE601" s="4" t="s">
        <v>91</v>
      </c>
      <c r="BI601" s="4">
        <v>100</v>
      </c>
      <c r="BL601" s="4" t="s">
        <v>2328</v>
      </c>
      <c r="BM601" s="4" t="s">
        <v>2338</v>
      </c>
    </row>
    <row r="602" spans="4:65">
      <c r="D602" s="17" t="str">
        <f t="shared" si="144"/>
        <v>ErgänzungsfuttermittelKatzeFette und Öle</v>
      </c>
      <c r="E602" s="4" t="str">
        <f t="shared" si="145"/>
        <v>Ergänzungsfuttermittel</v>
      </c>
      <c r="F602" s="19" t="s">
        <v>90</v>
      </c>
      <c r="G602" s="4" t="s">
        <v>142</v>
      </c>
      <c r="L602" s="4" t="s">
        <v>1024</v>
      </c>
      <c r="M602">
        <f t="shared" si="146"/>
        <v>1</v>
      </c>
      <c r="N602">
        <f t="shared" si="147"/>
        <v>0.5</v>
      </c>
      <c r="P602">
        <f t="shared" si="148"/>
        <v>69</v>
      </c>
      <c r="R602">
        <f t="shared" si="149"/>
        <v>0.5</v>
      </c>
      <c r="U602" s="33" t="str">
        <f t="shared" si="151"/>
        <v/>
      </c>
      <c r="AF602" s="4">
        <f t="shared" si="153"/>
        <v>0</v>
      </c>
      <c r="AL602" s="4">
        <f t="shared" si="152"/>
        <v>0</v>
      </c>
      <c r="BA602" s="4">
        <v>389.13</v>
      </c>
      <c r="BC602" s="4" t="s">
        <v>2351</v>
      </c>
      <c r="BD602" s="4" t="s">
        <v>2322</v>
      </c>
      <c r="BE602" s="4" t="s">
        <v>91</v>
      </c>
      <c r="BF602" s="4">
        <v>1</v>
      </c>
      <c r="BG602" s="4">
        <v>0.5</v>
      </c>
      <c r="BI602" s="4">
        <v>69</v>
      </c>
      <c r="BK602" s="4">
        <v>0.5</v>
      </c>
      <c r="BL602" s="4" t="s">
        <v>2353</v>
      </c>
      <c r="BM602" s="4" t="s">
        <v>2352</v>
      </c>
    </row>
    <row r="603" spans="4:65">
      <c r="D603" s="17" t="str">
        <f t="shared" si="144"/>
        <v>ErgänzungsfuttermittelKatzeFette und Öle</v>
      </c>
      <c r="E603" s="4" t="str">
        <f t="shared" si="145"/>
        <v>Ergänzungsfuttermittel</v>
      </c>
      <c r="F603" s="19" t="s">
        <v>90</v>
      </c>
      <c r="G603" s="4" t="s">
        <v>142</v>
      </c>
      <c r="L603" s="4" t="s">
        <v>2357</v>
      </c>
      <c r="M603">
        <f t="shared" si="146"/>
        <v>0</v>
      </c>
      <c r="N603">
        <f t="shared" si="147"/>
        <v>0</v>
      </c>
      <c r="P603">
        <f t="shared" si="148"/>
        <v>100</v>
      </c>
      <c r="R603">
        <f t="shared" si="149"/>
        <v>0</v>
      </c>
      <c r="U603" s="33" t="str">
        <f t="shared" si="151"/>
        <v/>
      </c>
      <c r="AF603" s="4">
        <f t="shared" si="153"/>
        <v>0</v>
      </c>
      <c r="AL603" s="4">
        <f t="shared" si="152"/>
        <v>0</v>
      </c>
      <c r="AN603" s="4">
        <v>268</v>
      </c>
      <c r="BA603" s="4">
        <v>62.96</v>
      </c>
      <c r="BB603" s="4">
        <v>1.5</v>
      </c>
      <c r="BC603" s="4" t="s">
        <v>2354</v>
      </c>
      <c r="BD603" s="4" t="s">
        <v>2322</v>
      </c>
      <c r="BE603" s="4" t="s">
        <v>91</v>
      </c>
      <c r="BI603" s="4">
        <v>100</v>
      </c>
      <c r="BL603" s="4" t="s">
        <v>2356</v>
      </c>
      <c r="BM603" s="4" t="s">
        <v>2355</v>
      </c>
    </row>
    <row r="604" spans="4:65">
      <c r="D604" s="17" t="str">
        <f t="shared" si="144"/>
        <v>ErgänzungsfuttermittelKatzeFette und Öle</v>
      </c>
      <c r="E604" s="4" t="str">
        <f t="shared" si="145"/>
        <v>Ergänzungsfuttermittel</v>
      </c>
      <c r="F604" s="19" t="s">
        <v>90</v>
      </c>
      <c r="G604" s="4" t="s">
        <v>142</v>
      </c>
      <c r="L604" s="4" t="s">
        <v>2423</v>
      </c>
      <c r="M604">
        <f t="shared" si="146"/>
        <v>0</v>
      </c>
      <c r="N604">
        <f t="shared" si="147"/>
        <v>0</v>
      </c>
      <c r="P604">
        <f t="shared" si="148"/>
        <v>84.6</v>
      </c>
      <c r="R604">
        <f t="shared" si="149"/>
        <v>0</v>
      </c>
      <c r="U604" s="33" t="str">
        <f t="shared" si="151"/>
        <v/>
      </c>
      <c r="AF604" s="4">
        <f t="shared" si="153"/>
        <v>0</v>
      </c>
      <c r="AL604" s="4">
        <f t="shared" si="152"/>
        <v>0</v>
      </c>
      <c r="AN604" s="4">
        <v>14128.8</v>
      </c>
      <c r="AS604" s="4">
        <v>13.9</v>
      </c>
      <c r="BA604" s="4">
        <v>479.2</v>
      </c>
      <c r="BC604" s="4" t="s">
        <v>2423</v>
      </c>
      <c r="BD604" s="4" t="s">
        <v>2397</v>
      </c>
      <c r="BE604" s="4" t="s">
        <v>91</v>
      </c>
      <c r="BG604" s="4">
        <v>0</v>
      </c>
      <c r="BI604" s="4">
        <v>84.6</v>
      </c>
      <c r="BL604" s="4" t="s">
        <v>2424</v>
      </c>
      <c r="BM604" s="4" t="s">
        <v>2425</v>
      </c>
    </row>
    <row r="605" spans="4:65">
      <c r="D605" s="17" t="str">
        <f t="shared" si="144"/>
        <v>ErgänzungsfuttermittelKatzeFette und Öle</v>
      </c>
      <c r="E605" s="4" t="str">
        <f t="shared" si="145"/>
        <v>Ergänzungsfuttermittel</v>
      </c>
      <c r="F605" s="19" t="s">
        <v>90</v>
      </c>
      <c r="G605" s="4" t="s">
        <v>142</v>
      </c>
      <c r="L605" s="4" t="s">
        <v>2426</v>
      </c>
      <c r="M605">
        <f t="shared" si="146"/>
        <v>4.5</v>
      </c>
      <c r="N605">
        <f t="shared" si="147"/>
        <v>16</v>
      </c>
      <c r="P605">
        <f t="shared" si="148"/>
        <v>72.5</v>
      </c>
      <c r="R605">
        <f t="shared" si="149"/>
        <v>0</v>
      </c>
      <c r="U605" s="33" t="str">
        <f t="shared" si="151"/>
        <v/>
      </c>
      <c r="AF605" s="4">
        <f t="shared" si="153"/>
        <v>0</v>
      </c>
      <c r="AL605" s="4">
        <f t="shared" si="152"/>
        <v>0</v>
      </c>
      <c r="BA605" s="4">
        <v>545.66999999999996</v>
      </c>
      <c r="BB605" s="4">
        <v>6</v>
      </c>
      <c r="BC605" s="4" t="s">
        <v>2426</v>
      </c>
      <c r="BD605" s="4" t="s">
        <v>2397</v>
      </c>
      <c r="BE605" s="4" t="s">
        <v>91</v>
      </c>
      <c r="BF605" s="4">
        <v>4.5</v>
      </c>
      <c r="BG605" s="4">
        <v>16</v>
      </c>
      <c r="BI605" s="4">
        <v>72.5</v>
      </c>
      <c r="BL605" s="4" t="s">
        <v>2428</v>
      </c>
      <c r="BM605" s="4" t="s">
        <v>2427</v>
      </c>
    </row>
    <row r="606" spans="4:65">
      <c r="D606" s="17" t="str">
        <f t="shared" si="144"/>
        <v>ErgänzungsfuttermittelKatzeFette und Öle</v>
      </c>
      <c r="E606" s="4" t="str">
        <f t="shared" si="145"/>
        <v>Ergänzungsfuttermittel</v>
      </c>
      <c r="F606" s="19" t="s">
        <v>90</v>
      </c>
      <c r="G606" s="4" t="s">
        <v>142</v>
      </c>
      <c r="L606" s="4" t="s">
        <v>2577</v>
      </c>
      <c r="M606">
        <f t="shared" si="146"/>
        <v>0</v>
      </c>
      <c r="N606">
        <f t="shared" si="147"/>
        <v>0</v>
      </c>
      <c r="P606">
        <f t="shared" si="148"/>
        <v>98</v>
      </c>
      <c r="R606">
        <f t="shared" si="149"/>
        <v>0</v>
      </c>
      <c r="U606" s="33" t="str">
        <f t="shared" si="151"/>
        <v/>
      </c>
      <c r="AF606" s="4">
        <f t="shared" si="153"/>
        <v>0</v>
      </c>
      <c r="AL606" s="4">
        <f t="shared" si="152"/>
        <v>0</v>
      </c>
      <c r="AN606" s="4">
        <v>6.7</v>
      </c>
      <c r="BA606" s="4">
        <v>118</v>
      </c>
      <c r="BB606" s="4">
        <v>7.125</v>
      </c>
      <c r="BC606" s="4" t="s">
        <v>2578</v>
      </c>
      <c r="BD606" s="4" t="s">
        <v>2565</v>
      </c>
      <c r="BE606" s="4" t="s">
        <v>91</v>
      </c>
      <c r="BI606" s="4">
        <v>98</v>
      </c>
      <c r="BL606" s="4" t="s">
        <v>2580</v>
      </c>
      <c r="BM606" s="4" t="s">
        <v>2579</v>
      </c>
    </row>
    <row r="607" spans="4:65">
      <c r="D607" s="17" t="str">
        <f t="shared" si="144"/>
        <v>ErgänzungsfuttermittelKatzeFette und Öle</v>
      </c>
      <c r="E607" s="4" t="str">
        <f t="shared" si="145"/>
        <v>Ergänzungsfuttermittel</v>
      </c>
      <c r="F607" s="19" t="s">
        <v>90</v>
      </c>
      <c r="G607" s="4" t="s">
        <v>142</v>
      </c>
      <c r="L607" s="4" t="s">
        <v>2631</v>
      </c>
      <c r="M607">
        <f t="shared" si="146"/>
        <v>0</v>
      </c>
      <c r="N607">
        <f t="shared" si="147"/>
        <v>0</v>
      </c>
      <c r="P607">
        <f t="shared" si="148"/>
        <v>100</v>
      </c>
      <c r="R607">
        <f t="shared" si="149"/>
        <v>0</v>
      </c>
      <c r="U607" s="33" t="str">
        <f t="shared" si="151"/>
        <v/>
      </c>
      <c r="AF607" s="4">
        <f t="shared" si="153"/>
        <v>0</v>
      </c>
      <c r="AL607" s="4">
        <f t="shared" si="152"/>
        <v>0</v>
      </c>
      <c r="AN607" s="4">
        <v>423</v>
      </c>
      <c r="BA607" s="4">
        <v>97.46</v>
      </c>
      <c r="BB607" s="4">
        <v>5</v>
      </c>
      <c r="BC607" s="4" t="s">
        <v>2631</v>
      </c>
      <c r="BD607" s="4" t="s">
        <v>96</v>
      </c>
      <c r="BE607" s="4" t="s">
        <v>91</v>
      </c>
      <c r="BI607" s="4">
        <v>100</v>
      </c>
      <c r="BL607" s="4" t="s">
        <v>2633</v>
      </c>
      <c r="BM607" s="4" t="s">
        <v>2632</v>
      </c>
    </row>
    <row r="608" spans="4:65">
      <c r="D608" s="17" t="str">
        <f t="shared" si="144"/>
        <v>ErgänzungsfuttermittelKatzeFette und Öle</v>
      </c>
      <c r="E608" s="4" t="str">
        <f t="shared" si="145"/>
        <v>Ergänzungsfuttermittel</v>
      </c>
      <c r="F608" s="19" t="s">
        <v>90</v>
      </c>
      <c r="G608" s="4" t="s">
        <v>142</v>
      </c>
      <c r="L608" s="4" t="s">
        <v>2634</v>
      </c>
      <c r="M608">
        <f t="shared" si="146"/>
        <v>1.7</v>
      </c>
      <c r="N608">
        <f t="shared" si="147"/>
        <v>4.5</v>
      </c>
      <c r="P608">
        <f t="shared" si="148"/>
        <v>76</v>
      </c>
      <c r="R608">
        <f t="shared" si="149"/>
        <v>2</v>
      </c>
      <c r="U608" s="33" t="str">
        <f t="shared" si="151"/>
        <v/>
      </c>
      <c r="AF608" s="4">
        <f t="shared" si="153"/>
        <v>0</v>
      </c>
      <c r="AL608" s="4">
        <f t="shared" si="152"/>
        <v>0</v>
      </c>
      <c r="BA608" s="4">
        <v>387.83</v>
      </c>
      <c r="BB608" s="4">
        <v>2</v>
      </c>
      <c r="BC608" s="4" t="s">
        <v>2634</v>
      </c>
      <c r="BD608" s="4" t="s">
        <v>96</v>
      </c>
      <c r="BE608" s="4" t="s">
        <v>91</v>
      </c>
      <c r="BF608" s="4">
        <v>1.7</v>
      </c>
      <c r="BG608" s="4">
        <v>4.5</v>
      </c>
      <c r="BI608" s="4">
        <v>76</v>
      </c>
      <c r="BK608" s="4">
        <v>2</v>
      </c>
      <c r="BL608" s="4" t="s">
        <v>2636</v>
      </c>
      <c r="BM608" s="4" t="s">
        <v>2635</v>
      </c>
    </row>
    <row r="609" spans="4:65">
      <c r="D609" s="17" t="str">
        <f t="shared" si="144"/>
        <v>ErgänzungsfuttermittelKatzeFette und Öle</v>
      </c>
      <c r="E609" s="4" t="str">
        <f t="shared" si="145"/>
        <v>Ergänzungsfuttermittel</v>
      </c>
      <c r="F609" s="19" t="s">
        <v>90</v>
      </c>
      <c r="G609" s="4" t="s">
        <v>142</v>
      </c>
      <c r="L609" s="4" t="s">
        <v>2705</v>
      </c>
      <c r="M609">
        <f t="shared" si="146"/>
        <v>0</v>
      </c>
      <c r="N609">
        <f t="shared" si="147"/>
        <v>0</v>
      </c>
      <c r="P609">
        <f t="shared" si="148"/>
        <v>98.13</v>
      </c>
      <c r="R609">
        <f t="shared" si="149"/>
        <v>0</v>
      </c>
      <c r="U609" s="33" t="str">
        <f t="shared" si="151"/>
        <v/>
      </c>
      <c r="AF609" s="4">
        <f t="shared" si="153"/>
        <v>0</v>
      </c>
      <c r="AL609" s="4">
        <f t="shared" si="152"/>
        <v>0</v>
      </c>
      <c r="BA609" s="4">
        <v>55.13</v>
      </c>
      <c r="BB609" s="4">
        <v>4</v>
      </c>
      <c r="BC609" s="4" t="s">
        <v>2705</v>
      </c>
      <c r="BD609" s="4" t="s">
        <v>2701</v>
      </c>
      <c r="BE609" s="4" t="s">
        <v>91</v>
      </c>
      <c r="BF609" s="4">
        <v>0</v>
      </c>
      <c r="BG609" s="4">
        <v>0</v>
      </c>
      <c r="BI609" s="4">
        <v>98.13</v>
      </c>
      <c r="BK609" s="4">
        <v>0</v>
      </c>
      <c r="BL609" s="4" t="s">
        <v>2707</v>
      </c>
      <c r="BM609" s="4" t="s">
        <v>2706</v>
      </c>
    </row>
    <row r="610" spans="4:65">
      <c r="D610" s="17" t="str">
        <f t="shared" si="144"/>
        <v>ErgänzungsfuttermittelKatzeFette und Öle</v>
      </c>
      <c r="E610" s="4" t="str">
        <f t="shared" si="145"/>
        <v>Ergänzungsfuttermittel</v>
      </c>
      <c r="F610" s="19" t="s">
        <v>90</v>
      </c>
      <c r="G610" s="4" t="s">
        <v>142</v>
      </c>
      <c r="L610" s="4" t="s">
        <v>2797</v>
      </c>
      <c r="M610">
        <f t="shared" si="146"/>
        <v>0.5</v>
      </c>
      <c r="N610">
        <f t="shared" si="147"/>
        <v>1.1000000000000001</v>
      </c>
      <c r="P610">
        <f t="shared" si="148"/>
        <v>92.3</v>
      </c>
      <c r="R610">
        <f t="shared" si="149"/>
        <v>0.5</v>
      </c>
      <c r="U610" s="33" t="str">
        <f t="shared" si="151"/>
        <v/>
      </c>
      <c r="AB610" s="4">
        <v>19.5</v>
      </c>
      <c r="AE610" s="4">
        <v>1000</v>
      </c>
      <c r="AF610" s="4">
        <f t="shared" si="153"/>
        <v>0</v>
      </c>
      <c r="AL610" s="4">
        <f t="shared" si="152"/>
        <v>0</v>
      </c>
      <c r="AN610" s="4">
        <v>1000</v>
      </c>
      <c r="AS610" s="4">
        <v>500000</v>
      </c>
      <c r="BA610" s="4">
        <v>255.98</v>
      </c>
      <c r="BB610" s="4">
        <v>1</v>
      </c>
      <c r="BC610" s="4" t="s">
        <v>2797</v>
      </c>
      <c r="BD610" s="4" t="s">
        <v>2770</v>
      </c>
      <c r="BE610" s="4" t="s">
        <v>91</v>
      </c>
      <c r="BF610" s="4">
        <v>0.5</v>
      </c>
      <c r="BG610" s="4">
        <v>1.1000000000000001</v>
      </c>
      <c r="BI610" s="4">
        <v>92.3</v>
      </c>
      <c r="BK610" s="4">
        <v>0.5</v>
      </c>
      <c r="BL610" s="4" t="s">
        <v>2799</v>
      </c>
      <c r="BM610" s="4" t="s">
        <v>2798</v>
      </c>
    </row>
    <row r="611" spans="4:65">
      <c r="D611" s="17" t="str">
        <f t="shared" si="144"/>
        <v>ErgänzungsfuttermittelKatzeFette und Öle</v>
      </c>
      <c r="E611" s="4" t="s">
        <v>91</v>
      </c>
      <c r="F611" s="19" t="s">
        <v>90</v>
      </c>
      <c r="G611" s="4" t="s">
        <v>142</v>
      </c>
      <c r="L611" s="4" t="s">
        <v>757</v>
      </c>
      <c r="M611">
        <f t="shared" si="146"/>
        <v>2.2999999999999998</v>
      </c>
      <c r="N611">
        <f t="shared" si="147"/>
        <v>22.2</v>
      </c>
      <c r="P611">
        <f t="shared" si="148"/>
        <v>65.099999999999994</v>
      </c>
      <c r="R611">
        <f t="shared" si="149"/>
        <v>0</v>
      </c>
      <c r="U611" s="33" t="str">
        <f t="shared" si="151"/>
        <v/>
      </c>
      <c r="AF611" s="4">
        <f t="shared" si="153"/>
        <v>0</v>
      </c>
      <c r="AL611" s="4">
        <f t="shared" si="152"/>
        <v>0</v>
      </c>
      <c r="BA611" s="4">
        <v>399.75</v>
      </c>
      <c r="BC611" s="4" t="s">
        <v>757</v>
      </c>
      <c r="BD611" s="4" t="s">
        <v>703</v>
      </c>
      <c r="BE611" s="4" t="s">
        <v>91</v>
      </c>
      <c r="BF611" s="4">
        <v>2.2999999999999998</v>
      </c>
      <c r="BG611" s="4">
        <v>22.2</v>
      </c>
      <c r="BI611" s="4">
        <v>65.099999999999994</v>
      </c>
      <c r="BL611" s="4" t="s">
        <v>759</v>
      </c>
      <c r="BM611" s="4" t="s">
        <v>758</v>
      </c>
    </row>
    <row r="612" spans="4:65">
      <c r="D612" s="17" t="str">
        <f t="shared" si="144"/>
        <v>ErgänzungsfuttermittelKatzeFette und Öle</v>
      </c>
      <c r="E612" s="4" t="s">
        <v>91</v>
      </c>
      <c r="F612" s="19" t="s">
        <v>90</v>
      </c>
      <c r="G612" s="4" t="s">
        <v>142</v>
      </c>
      <c r="L612" s="4" t="s">
        <v>2963</v>
      </c>
      <c r="M612">
        <f t="shared" ref="M612:M617" si="154">BF612</f>
        <v>0.4</v>
      </c>
      <c r="N612">
        <f t="shared" ref="N612:N617" si="155">BG612</f>
        <v>0.3</v>
      </c>
      <c r="P612">
        <f t="shared" ref="P612:P617" si="156">BI612</f>
        <v>99.6</v>
      </c>
      <c r="R612">
        <f t="shared" ref="R612:R617" si="157">BK612</f>
        <v>0.5</v>
      </c>
      <c r="U612" s="33" t="str">
        <f t="shared" si="151"/>
        <v/>
      </c>
      <c r="AF612" s="4">
        <f t="shared" si="153"/>
        <v>0</v>
      </c>
      <c r="AL612" s="4">
        <f t="shared" si="152"/>
        <v>0</v>
      </c>
      <c r="BA612" s="4">
        <v>240.33</v>
      </c>
      <c r="BC612" s="4" t="s">
        <v>2963</v>
      </c>
      <c r="BD612" s="4" t="s">
        <v>956</v>
      </c>
      <c r="BE612" s="4" t="s">
        <v>91</v>
      </c>
      <c r="BF612" s="4">
        <v>0.4</v>
      </c>
      <c r="BG612" s="4">
        <v>0.3</v>
      </c>
      <c r="BI612" s="4">
        <v>99.6</v>
      </c>
      <c r="BK612" s="4">
        <v>0.5</v>
      </c>
      <c r="BL612" s="4" t="s">
        <v>2964</v>
      </c>
      <c r="BM612" s="4" t="s">
        <v>2965</v>
      </c>
    </row>
    <row r="613" spans="4:65">
      <c r="D613" s="17" t="str">
        <f t="shared" si="144"/>
        <v>ErgänzungsfuttermittelKatzeFette und Öle</v>
      </c>
      <c r="E613" s="4" t="s">
        <v>91</v>
      </c>
      <c r="F613" s="19" t="s">
        <v>90</v>
      </c>
      <c r="G613" s="4" t="s">
        <v>142</v>
      </c>
      <c r="L613" s="4" t="s">
        <v>2979</v>
      </c>
      <c r="M613">
        <f t="shared" si="154"/>
        <v>0.4</v>
      </c>
      <c r="N613">
        <f t="shared" si="155"/>
        <v>0.3</v>
      </c>
      <c r="P613">
        <f t="shared" si="156"/>
        <v>99.6</v>
      </c>
      <c r="R613">
        <f t="shared" si="157"/>
        <v>0.5</v>
      </c>
      <c r="U613" s="33" t="str">
        <f t="shared" si="151"/>
        <v/>
      </c>
      <c r="AF613" s="4">
        <f t="shared" si="153"/>
        <v>0</v>
      </c>
      <c r="AL613" s="4">
        <f t="shared" si="152"/>
        <v>0</v>
      </c>
      <c r="BA613" s="4">
        <v>25.74</v>
      </c>
      <c r="BC613" s="4" t="s">
        <v>2979</v>
      </c>
      <c r="BD613" s="4" t="s">
        <v>956</v>
      </c>
      <c r="BE613" s="4" t="s">
        <v>91</v>
      </c>
      <c r="BF613" s="4">
        <v>0.4</v>
      </c>
      <c r="BG613" s="4">
        <v>0.3</v>
      </c>
      <c r="BI613" s="4">
        <v>99.6</v>
      </c>
      <c r="BK613" s="4">
        <v>0.5</v>
      </c>
      <c r="BL613" s="4" t="s">
        <v>2980</v>
      </c>
      <c r="BM613" s="4" t="s">
        <v>2981</v>
      </c>
    </row>
    <row r="614" spans="4:65">
      <c r="D614" s="17" t="str">
        <f t="shared" si="144"/>
        <v>ErgänzungsfuttermittelKatzeFette und Öle</v>
      </c>
      <c r="E614" s="4" t="s">
        <v>91</v>
      </c>
      <c r="F614" s="19" t="s">
        <v>90</v>
      </c>
      <c r="G614" s="4" t="s">
        <v>142</v>
      </c>
      <c r="L614" s="4" t="s">
        <v>2994</v>
      </c>
      <c r="M614">
        <f t="shared" si="154"/>
        <v>0.4</v>
      </c>
      <c r="N614">
        <f t="shared" si="155"/>
        <v>0.3</v>
      </c>
      <c r="P614">
        <f t="shared" si="156"/>
        <v>99.6</v>
      </c>
      <c r="R614">
        <f t="shared" si="157"/>
        <v>0.5</v>
      </c>
      <c r="U614" s="33" t="str">
        <f t="shared" si="151"/>
        <v/>
      </c>
      <c r="AF614" s="4">
        <f t="shared" si="153"/>
        <v>0</v>
      </c>
      <c r="AL614" s="4">
        <f t="shared" si="152"/>
        <v>0</v>
      </c>
      <c r="BA614" s="4">
        <v>52.56</v>
      </c>
      <c r="BC614" s="4" t="s">
        <v>2994</v>
      </c>
      <c r="BD614" s="4" t="s">
        <v>956</v>
      </c>
      <c r="BE614" s="4" t="s">
        <v>91</v>
      </c>
      <c r="BF614" s="4">
        <v>0.4</v>
      </c>
      <c r="BG614" s="4">
        <v>0.3</v>
      </c>
      <c r="BI614" s="4">
        <v>99.6</v>
      </c>
      <c r="BK614" s="4">
        <v>0.5</v>
      </c>
      <c r="BL614" s="4" t="s">
        <v>2995</v>
      </c>
      <c r="BM614" s="4" t="s">
        <v>2996</v>
      </c>
    </row>
    <row r="615" spans="4:65">
      <c r="D615" s="17" t="str">
        <f t="shared" si="144"/>
        <v>ErgänzungsfuttermittelKatzeFette und Öle</v>
      </c>
      <c r="E615" s="4" t="s">
        <v>91</v>
      </c>
      <c r="F615" s="19" t="s">
        <v>90</v>
      </c>
      <c r="G615" s="4" t="s">
        <v>142</v>
      </c>
      <c r="L615" s="4" t="s">
        <v>3071</v>
      </c>
      <c r="M615">
        <f t="shared" si="154"/>
        <v>0.4</v>
      </c>
      <c r="N615">
        <f t="shared" si="155"/>
        <v>0.3</v>
      </c>
      <c r="P615">
        <f t="shared" si="156"/>
        <v>99.6</v>
      </c>
      <c r="R615">
        <f t="shared" si="157"/>
        <v>0.5</v>
      </c>
      <c r="U615" s="33" t="str">
        <f t="shared" si="151"/>
        <v/>
      </c>
      <c r="AF615" s="4">
        <f t="shared" si="153"/>
        <v>0</v>
      </c>
      <c r="AL615" s="4">
        <f t="shared" si="152"/>
        <v>0</v>
      </c>
      <c r="BA615" s="4">
        <v>202.93</v>
      </c>
      <c r="BC615" s="4" t="s">
        <v>3071</v>
      </c>
      <c r="BD615" s="4" t="s">
        <v>956</v>
      </c>
      <c r="BE615" s="4" t="s">
        <v>91</v>
      </c>
      <c r="BF615" s="4">
        <v>0.4</v>
      </c>
      <c r="BG615" s="4">
        <v>0.3</v>
      </c>
      <c r="BI615" s="4">
        <v>99.6</v>
      </c>
      <c r="BK615" s="4">
        <v>0.5</v>
      </c>
      <c r="BL615" s="4" t="s">
        <v>3072</v>
      </c>
      <c r="BM615" s="4" t="s">
        <v>3073</v>
      </c>
    </row>
    <row r="616" spans="4:65">
      <c r="D616" s="17" t="str">
        <f t="shared" si="144"/>
        <v>ErgänzungsfuttermittelKatzeFette und Öle</v>
      </c>
      <c r="E616" s="4" t="s">
        <v>91</v>
      </c>
      <c r="F616" s="19" t="s">
        <v>90</v>
      </c>
      <c r="G616" s="4" t="s">
        <v>142</v>
      </c>
      <c r="L616" s="4" t="s">
        <v>3164</v>
      </c>
      <c r="M616">
        <f t="shared" si="154"/>
        <v>0.5</v>
      </c>
      <c r="N616">
        <f t="shared" si="155"/>
        <v>0</v>
      </c>
      <c r="P616">
        <f t="shared" si="156"/>
        <v>99.5</v>
      </c>
      <c r="R616">
        <f t="shared" si="157"/>
        <v>0</v>
      </c>
      <c r="U616" s="33" t="str">
        <f t="shared" si="151"/>
        <v/>
      </c>
      <c r="AF616" s="4">
        <f t="shared" si="153"/>
        <v>0</v>
      </c>
      <c r="AL616" s="4">
        <f t="shared" si="152"/>
        <v>0</v>
      </c>
      <c r="AN616" s="4">
        <v>250</v>
      </c>
      <c r="BA616" s="4">
        <v>531.58000000000004</v>
      </c>
      <c r="BB616" s="4">
        <v>0.76</v>
      </c>
      <c r="BC616" s="4" t="s">
        <v>3165</v>
      </c>
      <c r="BD616" s="4" t="s">
        <v>100</v>
      </c>
      <c r="BE616" s="4" t="s">
        <v>91</v>
      </c>
      <c r="BF616" s="4">
        <v>0.5</v>
      </c>
      <c r="BI616" s="4">
        <v>99.5</v>
      </c>
      <c r="BL616" s="4" t="s">
        <v>3167</v>
      </c>
      <c r="BM616" s="4" t="s">
        <v>3166</v>
      </c>
    </row>
    <row r="617" spans="4:65">
      <c r="D617" s="17" t="str">
        <f t="shared" si="144"/>
        <v>ErgänzungsfuttermittelKatzeFette und Öle</v>
      </c>
      <c r="E617" s="4" t="s">
        <v>91</v>
      </c>
      <c r="F617" s="19" t="s">
        <v>90</v>
      </c>
      <c r="G617" s="4" t="s">
        <v>142</v>
      </c>
      <c r="L617" s="4" t="s">
        <v>3202</v>
      </c>
      <c r="M617">
        <f t="shared" si="154"/>
        <v>0.5</v>
      </c>
      <c r="N617">
        <f t="shared" si="155"/>
        <v>0.5</v>
      </c>
      <c r="P617">
        <f t="shared" si="156"/>
        <v>99.5</v>
      </c>
      <c r="R617">
        <f t="shared" si="157"/>
        <v>0.3</v>
      </c>
      <c r="U617" s="33" t="str">
        <f t="shared" si="151"/>
        <v/>
      </c>
      <c r="AF617" s="4">
        <f t="shared" si="153"/>
        <v>0</v>
      </c>
      <c r="AK617" s="4">
        <v>2000</v>
      </c>
      <c r="AL617" s="4">
        <f t="shared" si="152"/>
        <v>50</v>
      </c>
      <c r="AN617" s="4">
        <v>29.95</v>
      </c>
      <c r="BA617" s="4">
        <v>350</v>
      </c>
      <c r="BB617" s="4">
        <v>1</v>
      </c>
      <c r="BC617" s="4" t="s">
        <v>3203</v>
      </c>
      <c r="BD617" s="4" t="s">
        <v>939</v>
      </c>
      <c r="BE617" s="4" t="s">
        <v>91</v>
      </c>
      <c r="BF617" s="4">
        <v>0.5</v>
      </c>
      <c r="BG617" s="4">
        <v>0.5</v>
      </c>
      <c r="BI617" s="4">
        <v>99.5</v>
      </c>
      <c r="BK617" s="4">
        <v>0.3</v>
      </c>
      <c r="BL617" s="4" t="s">
        <v>3205</v>
      </c>
      <c r="BM617" s="4" t="s">
        <v>3204</v>
      </c>
    </row>
    <row r="618" spans="4:65">
      <c r="D618" s="17" t="str">
        <f t="shared" si="144"/>
        <v>ErgänzungsfuttermittelKatzeFette und Öle</v>
      </c>
      <c r="E618" s="4" t="s">
        <v>91</v>
      </c>
      <c r="F618" s="19" t="s">
        <v>90</v>
      </c>
      <c r="G618" s="4" t="s">
        <v>142</v>
      </c>
      <c r="L618" s="4" t="s">
        <v>3241</v>
      </c>
      <c r="M618">
        <f t="shared" ref="M618" si="158">BF618</f>
        <v>0</v>
      </c>
      <c r="N618">
        <f t="shared" ref="N618" si="159">BG618</f>
        <v>0</v>
      </c>
      <c r="P618">
        <f t="shared" ref="P618" si="160">BI618</f>
        <v>100</v>
      </c>
      <c r="R618">
        <f t="shared" ref="R618" si="161">BK618</f>
        <v>0</v>
      </c>
      <c r="U618" s="33" t="str">
        <f t="shared" si="151"/>
        <v/>
      </c>
      <c r="BA618" s="4">
        <v>27</v>
      </c>
      <c r="BB618" s="4">
        <v>2.5</v>
      </c>
      <c r="BC618" s="4" t="s">
        <v>3241</v>
      </c>
      <c r="BD618" s="4" t="s">
        <v>442</v>
      </c>
      <c r="BE618" s="4" t="s">
        <v>91</v>
      </c>
      <c r="BI618" s="4">
        <v>100</v>
      </c>
      <c r="BL618" s="4" t="s">
        <v>3243</v>
      </c>
      <c r="BM618" s="4" t="s">
        <v>3242</v>
      </c>
    </row>
  </sheetData>
  <conditionalFormatting sqref="F1:F1048576">
    <cfRule type="containsText" dxfId="1" priority="1" operator="containsText" text="Ka">
      <formula>NOT(ISERROR(SEARCH("Ka",F1)))</formula>
    </cfRule>
  </conditionalFormatting>
  <hyperlinks>
    <hyperlink ref="BM130" r:id="rId1" xr:uid="{BB870BBB-D35E-4A3C-9949-03E60C2F5AAE}"/>
    <hyperlink ref="BM38" r:id="rId2" xr:uid="{FC91F60A-DFFA-4C0A-A170-658EF3CC3165}"/>
    <hyperlink ref="BM127" r:id="rId3" xr:uid="{78A20DB7-440C-449B-9F81-49334138B6BC}"/>
    <hyperlink ref="BM53" r:id="rId4" xr:uid="{A98A5515-27F9-4F70-8517-A08818CE1375}"/>
    <hyperlink ref="BM290" r:id="rId5" xr:uid="{A985777C-1FA5-4AC7-AAF1-2B38AFA925C1}"/>
    <hyperlink ref="BM279" r:id="rId6" xr:uid="{613BD4CC-EB9A-463F-B85C-5055CBDCEA92}"/>
    <hyperlink ref="BM344" r:id="rId7" xr:uid="{D30085BF-1844-402E-84B1-F308810B5FFE}"/>
    <hyperlink ref="BM345" r:id="rId8" xr:uid="{A8C0F835-7A92-4E7F-9C9C-E1D1AD3B6E3A}"/>
    <hyperlink ref="BM478" r:id="rId9" xr:uid="{DBA60E5C-21C1-4700-B9A1-5EA051B4035E}"/>
    <hyperlink ref="BM489" r:id="rId10" xr:uid="{D55AD3D9-BDF5-46BD-8805-3CA500FA9E34}"/>
    <hyperlink ref="BM549" r:id="rId11" xr:uid="{62245218-5600-4B7F-A6D3-5F34364A1382}"/>
    <hyperlink ref="BM551" r:id="rId12" xr:uid="{D50B198B-28D3-4D70-80BA-714DA1B160D7}"/>
    <hyperlink ref="BM540" r:id="rId13" xr:uid="{35CF1C64-47FC-4653-87AD-DE1F0D097C64}"/>
    <hyperlink ref="BM545" r:id="rId14" xr:uid="{64C618EB-0AEA-44BD-BEE6-3FDC4398725B}"/>
    <hyperlink ref="BM544" r:id="rId15" xr:uid="{85654294-8346-44F4-8253-F0EDE8DF132D}"/>
    <hyperlink ref="BM4" r:id="rId16" xr:uid="{BA420522-443F-445E-9CDD-A8374226D89B}"/>
    <hyperlink ref="BM189" r:id="rId17" xr:uid="{164FF82F-D78E-414F-A867-4F4531282CCE}"/>
  </hyperlinks>
  <pageMargins left="0.7" right="0.7" top="0.75" bottom="0.75" header="0.3" footer="0.3"/>
  <pageSetup paperSize="9"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D2158-154C-4690-9B5D-F400B145B371}">
  <dimension ref="A1:BO398"/>
  <sheetViews>
    <sheetView topLeftCell="D2" zoomScale="90" zoomScaleNormal="90" workbookViewId="0">
      <selection activeCell="F7" sqref="F7"/>
    </sheetView>
  </sheetViews>
  <sheetFormatPr baseColWidth="10" defaultColWidth="11.453125" defaultRowHeight="12"/>
  <cols>
    <col min="1" max="3" width="11.453125" style="4" hidden="1" customWidth="1"/>
    <col min="4" max="4" width="40.1796875" style="17" customWidth="1"/>
    <col min="5" max="5" width="17" style="4" customWidth="1"/>
    <col min="6" max="6" width="10.54296875" style="4" customWidth="1"/>
    <col min="7" max="7" width="34.81640625" style="4" customWidth="1"/>
    <col min="8" max="8" width="4.54296875" style="4" customWidth="1"/>
    <col min="9" max="9" width="3.54296875" style="4" customWidth="1"/>
    <col min="10" max="10" width="2.54296875" style="4" customWidth="1"/>
    <col min="11" max="11" width="7.26953125" style="4" customWidth="1"/>
    <col min="12" max="12" width="20.1796875" style="4" customWidth="1"/>
    <col min="13" max="13" width="9" style="4" customWidth="1"/>
    <col min="14" max="14" width="4" style="4" customWidth="1"/>
    <col min="15" max="15" width="0.1796875" style="4" customWidth="1"/>
    <col min="16" max="16" width="4.81640625" style="4" customWidth="1"/>
    <col min="17" max="17" width="4" style="4" hidden="1" customWidth="1"/>
    <col min="18" max="18" width="4.453125" style="4" customWidth="1"/>
    <col min="19" max="19" width="8.1796875" style="4" bestFit="1" customWidth="1"/>
    <col min="20" max="20" width="7.453125" style="4" customWidth="1"/>
    <col min="21" max="21" width="8.26953125" style="4" customWidth="1"/>
    <col min="22" max="23" width="5.26953125" style="4" bestFit="1" customWidth="1"/>
    <col min="24" max="25" width="5.453125" style="4" bestFit="1" customWidth="1"/>
    <col min="26" max="26" width="5" style="4" bestFit="1" customWidth="1"/>
    <col min="27" max="28" width="5.81640625" style="4" bestFit="1" customWidth="1"/>
    <col min="29" max="30" width="6.7265625" style="4" bestFit="1" customWidth="1"/>
    <col min="31" max="31" width="5.1796875" style="4" customWidth="1"/>
    <col min="32" max="32" width="7.26953125" style="4" customWidth="1"/>
    <col min="33" max="33" width="6.54296875" style="4" customWidth="1"/>
    <col min="34" max="36" width="5.54296875" style="4" hidden="1" customWidth="1"/>
    <col min="37" max="37" width="5.54296875" style="4" customWidth="1"/>
    <col min="38" max="39" width="5.453125" style="4" customWidth="1"/>
    <col min="40" max="40" width="5.81640625" style="4" customWidth="1"/>
    <col min="41" max="41" width="5.81640625" style="4" bestFit="1" customWidth="1"/>
    <col min="42" max="42" width="6.7265625" style="4" bestFit="1" customWidth="1"/>
    <col min="43" max="43" width="5.81640625" style="4" bestFit="1" customWidth="1"/>
    <col min="44" max="44" width="7.54296875" style="4" bestFit="1" customWidth="1"/>
    <col min="45" max="45" width="6.1796875" style="4" bestFit="1" customWidth="1"/>
    <col min="46" max="46" width="5.1796875" style="4" bestFit="1" customWidth="1"/>
    <col min="47" max="47" width="5.81640625" style="4" bestFit="1" customWidth="1"/>
    <col min="48" max="48" width="6.7265625" style="4" bestFit="1" customWidth="1"/>
    <col min="49" max="49" width="5.81640625" style="4" customWidth="1"/>
    <col min="50" max="50" width="5.453125" style="4" bestFit="1" customWidth="1"/>
    <col min="51" max="51" width="6.1796875" style="4" bestFit="1" customWidth="1"/>
    <col min="52" max="53" width="6.1796875" style="4" customWidth="1"/>
    <col min="54" max="54" width="8.7265625" style="4" customWidth="1"/>
    <col min="55" max="55" width="16.81640625" style="4" customWidth="1"/>
    <col min="56" max="56" width="20.7265625" style="4" customWidth="1"/>
    <col min="57" max="57" width="16.81640625" style="4" customWidth="1"/>
    <col min="58" max="58" width="4.26953125" style="4" customWidth="1"/>
    <col min="59" max="59" width="4" style="4" customWidth="1"/>
    <col min="60" max="60" width="3.54296875" style="4" customWidth="1"/>
    <col min="61" max="61" width="3.26953125" style="4" customWidth="1"/>
    <col min="62" max="63" width="3.7265625" style="4" customWidth="1"/>
    <col min="64" max="64" width="46.81640625" style="4" customWidth="1"/>
    <col min="65" max="65" width="11.453125" style="4"/>
    <col min="66" max="66" width="20.81640625" style="4" customWidth="1"/>
    <col min="67" max="16384" width="11.453125" style="4"/>
  </cols>
  <sheetData>
    <row r="1" spans="4:65" s="1" customFormat="1" ht="0.75" hidden="1" customHeight="1">
      <c r="D1" s="17"/>
      <c r="E1" s="4"/>
      <c r="M1" s="2" t="s">
        <v>0</v>
      </c>
      <c r="N1" s="2" t="s">
        <v>1</v>
      </c>
      <c r="O1" s="2" t="s">
        <v>2</v>
      </c>
      <c r="P1" s="2" t="s">
        <v>3</v>
      </c>
      <c r="Q1" s="2" t="s">
        <v>4</v>
      </c>
      <c r="R1" s="2" t="s">
        <v>5</v>
      </c>
      <c r="S1" s="2" t="s">
        <v>6</v>
      </c>
      <c r="T1" s="2" t="s">
        <v>7</v>
      </c>
      <c r="U1" s="2"/>
      <c r="V1" s="2" t="s">
        <v>8</v>
      </c>
      <c r="W1" s="2" t="s">
        <v>9</v>
      </c>
      <c r="X1" s="2" t="s">
        <v>10</v>
      </c>
      <c r="Y1" s="2" t="s">
        <v>11</v>
      </c>
      <c r="Z1" s="2" t="s">
        <v>12</v>
      </c>
      <c r="AA1" s="2" t="s">
        <v>13</v>
      </c>
      <c r="AB1" s="2" t="s">
        <v>14</v>
      </c>
      <c r="AC1" s="2" t="s">
        <v>15</v>
      </c>
      <c r="AD1" s="2" t="s">
        <v>16</v>
      </c>
      <c r="AE1" s="2" t="s">
        <v>17</v>
      </c>
      <c r="AF1" s="2"/>
      <c r="AG1" s="2" t="s">
        <v>18</v>
      </c>
      <c r="AH1" s="2"/>
      <c r="AI1" s="3" t="s">
        <v>19</v>
      </c>
      <c r="AJ1" s="2"/>
      <c r="AK1" s="2"/>
      <c r="AL1" s="2" t="s">
        <v>20</v>
      </c>
      <c r="AM1" s="2"/>
      <c r="AN1" s="2" t="s">
        <v>21</v>
      </c>
      <c r="AO1" s="2" t="s">
        <v>22</v>
      </c>
      <c r="AP1" s="2" t="s">
        <v>23</v>
      </c>
      <c r="AQ1" s="2" t="s">
        <v>24</v>
      </c>
      <c r="AR1" s="2" t="s">
        <v>25</v>
      </c>
      <c r="AS1" s="2" t="s">
        <v>26</v>
      </c>
      <c r="AT1" s="2" t="s">
        <v>27</v>
      </c>
      <c r="AU1" s="2" t="s">
        <v>28</v>
      </c>
      <c r="AV1" s="2" t="s">
        <v>29</v>
      </c>
      <c r="AW1" s="3" t="s">
        <v>30</v>
      </c>
      <c r="AX1" s="2" t="s">
        <v>31</v>
      </c>
      <c r="AY1" s="2" t="s">
        <v>32</v>
      </c>
      <c r="AZ1" s="2"/>
      <c r="BA1" s="2"/>
      <c r="BB1" s="2"/>
      <c r="BC1" s="2"/>
      <c r="BD1" s="2"/>
      <c r="BE1" s="2"/>
      <c r="BF1" s="2"/>
      <c r="BG1" s="2"/>
      <c r="BH1" s="2"/>
      <c r="BI1" s="2"/>
      <c r="BJ1" s="2"/>
      <c r="BK1" s="2"/>
      <c r="BL1" s="4"/>
      <c r="BM1" s="4"/>
    </row>
    <row r="2" spans="4:65" ht="11.25" customHeight="1" thickBot="1">
      <c r="D2" s="1">
        <v>1</v>
      </c>
      <c r="E2" s="4">
        <v>2</v>
      </c>
      <c r="F2" s="1">
        <v>3</v>
      </c>
      <c r="G2" s="1">
        <v>4</v>
      </c>
      <c r="H2" s="1">
        <v>5</v>
      </c>
      <c r="I2" s="1">
        <v>6</v>
      </c>
      <c r="J2" s="1">
        <v>7</v>
      </c>
      <c r="K2" s="1">
        <v>8</v>
      </c>
      <c r="L2" s="1">
        <v>9</v>
      </c>
      <c r="M2" s="1">
        <v>14</v>
      </c>
      <c r="N2" s="1">
        <v>15</v>
      </c>
      <c r="O2" s="1">
        <v>16</v>
      </c>
      <c r="P2" s="1">
        <v>17</v>
      </c>
      <c r="Q2" s="1">
        <v>18</v>
      </c>
      <c r="R2" s="1">
        <v>19</v>
      </c>
      <c r="S2" s="1">
        <v>64</v>
      </c>
      <c r="T2" s="1">
        <v>65</v>
      </c>
      <c r="U2" s="1"/>
      <c r="V2" s="1">
        <v>66</v>
      </c>
      <c r="W2" s="1">
        <v>67</v>
      </c>
      <c r="X2" s="1">
        <v>68</v>
      </c>
      <c r="Y2" s="1">
        <v>69</v>
      </c>
      <c r="Z2" s="1">
        <v>70</v>
      </c>
      <c r="AA2" s="1">
        <v>71</v>
      </c>
      <c r="AB2" s="1">
        <v>72</v>
      </c>
      <c r="AC2" s="1">
        <v>73</v>
      </c>
      <c r="AD2" s="1">
        <v>74</v>
      </c>
      <c r="AE2" s="1">
        <v>75</v>
      </c>
      <c r="AF2" s="1">
        <v>76</v>
      </c>
      <c r="AG2" s="1">
        <v>77</v>
      </c>
      <c r="AH2" s="1">
        <v>78</v>
      </c>
      <c r="AI2" s="1">
        <v>79</v>
      </c>
      <c r="AJ2" s="1">
        <v>80</v>
      </c>
      <c r="AK2" s="1">
        <v>81</v>
      </c>
      <c r="AL2" s="1">
        <v>82</v>
      </c>
      <c r="AM2" s="1">
        <v>83</v>
      </c>
      <c r="AN2" s="1">
        <v>84</v>
      </c>
      <c r="AO2" s="1">
        <v>85</v>
      </c>
      <c r="AP2" s="1">
        <v>86</v>
      </c>
      <c r="AQ2" s="1">
        <v>87</v>
      </c>
      <c r="AR2" s="1">
        <v>88</v>
      </c>
      <c r="AS2" s="1">
        <v>89</v>
      </c>
      <c r="AT2" s="1">
        <v>90</v>
      </c>
      <c r="AU2" s="1">
        <v>91</v>
      </c>
      <c r="AV2" s="1">
        <v>92</v>
      </c>
      <c r="AW2" s="1">
        <v>93</v>
      </c>
      <c r="AX2" s="1">
        <v>94</v>
      </c>
      <c r="AY2" s="1">
        <v>95</v>
      </c>
      <c r="AZ2" s="1"/>
      <c r="BA2" s="1">
        <v>96</v>
      </c>
      <c r="BB2" s="1"/>
      <c r="BC2" s="1">
        <v>97</v>
      </c>
      <c r="BD2" s="1">
        <v>98</v>
      </c>
      <c r="BE2" s="1">
        <v>99</v>
      </c>
      <c r="BF2" s="1">
        <v>100</v>
      </c>
      <c r="BG2" s="1">
        <v>101</v>
      </c>
      <c r="BH2" s="1">
        <v>102</v>
      </c>
      <c r="BI2" s="1">
        <v>103</v>
      </c>
      <c r="BJ2" s="1">
        <v>104</v>
      </c>
      <c r="BK2" s="1">
        <v>105</v>
      </c>
      <c r="BL2" s="4">
        <v>106</v>
      </c>
    </row>
    <row r="3" spans="4:65" s="16" customFormat="1" ht="117.75" customHeight="1" thickTop="1" thickBot="1">
      <c r="D3" s="6" t="s">
        <v>33</v>
      </c>
      <c r="E3" s="6" t="s">
        <v>34</v>
      </c>
      <c r="F3" s="6" t="s">
        <v>35</v>
      </c>
      <c r="G3" s="7" t="s">
        <v>36</v>
      </c>
      <c r="H3" s="8" t="s">
        <v>37</v>
      </c>
      <c r="I3" s="8" t="s">
        <v>38</v>
      </c>
      <c r="J3" s="8" t="s">
        <v>39</v>
      </c>
      <c r="K3" s="8" t="s">
        <v>40</v>
      </c>
      <c r="L3" s="7" t="s">
        <v>41</v>
      </c>
      <c r="M3" s="10" t="s">
        <v>42</v>
      </c>
      <c r="N3" s="10" t="s">
        <v>43</v>
      </c>
      <c r="O3" s="10" t="s">
        <v>44</v>
      </c>
      <c r="P3" s="10" t="s">
        <v>45</v>
      </c>
      <c r="Q3" s="10" t="s">
        <v>46</v>
      </c>
      <c r="R3" s="11" t="s">
        <v>47</v>
      </c>
      <c r="S3" s="8" t="s">
        <v>48</v>
      </c>
      <c r="T3" s="8" t="s">
        <v>49</v>
      </c>
      <c r="U3" s="8" t="s">
        <v>3272</v>
      </c>
      <c r="V3" s="8" t="s">
        <v>50</v>
      </c>
      <c r="W3" s="8" t="s">
        <v>51</v>
      </c>
      <c r="X3" s="8" t="s">
        <v>52</v>
      </c>
      <c r="Y3" s="8" t="s">
        <v>53</v>
      </c>
      <c r="Z3" s="8" t="s">
        <v>54</v>
      </c>
      <c r="AA3" s="8" t="s">
        <v>55</v>
      </c>
      <c r="AB3" s="8" t="s">
        <v>56</v>
      </c>
      <c r="AC3" s="8" t="s">
        <v>57</v>
      </c>
      <c r="AD3" s="8" t="s">
        <v>58</v>
      </c>
      <c r="AE3" s="8" t="s">
        <v>59</v>
      </c>
      <c r="AF3" s="8" t="s">
        <v>60</v>
      </c>
      <c r="AG3" s="8" t="s">
        <v>61</v>
      </c>
      <c r="AH3" s="8" t="s">
        <v>62</v>
      </c>
      <c r="AI3" s="8" t="s">
        <v>63</v>
      </c>
      <c r="AJ3" s="8" t="s">
        <v>64</v>
      </c>
      <c r="AK3" s="8" t="s">
        <v>65</v>
      </c>
      <c r="AL3" s="8" t="s">
        <v>66</v>
      </c>
      <c r="AM3" s="8" t="s">
        <v>67</v>
      </c>
      <c r="AN3" s="8" t="s">
        <v>68</v>
      </c>
      <c r="AO3" s="8" t="s">
        <v>69</v>
      </c>
      <c r="AP3" s="8" t="s">
        <v>70</v>
      </c>
      <c r="AQ3" s="8" t="s">
        <v>71</v>
      </c>
      <c r="AR3" s="8" t="s">
        <v>72</v>
      </c>
      <c r="AS3" s="8" t="s">
        <v>73</v>
      </c>
      <c r="AT3" s="8" t="s">
        <v>74</v>
      </c>
      <c r="AU3" s="8" t="s">
        <v>75</v>
      </c>
      <c r="AV3" s="8" t="s">
        <v>76</v>
      </c>
      <c r="AW3" s="8" t="s">
        <v>77</v>
      </c>
      <c r="AX3" s="8" t="s">
        <v>78</v>
      </c>
      <c r="AY3" s="8" t="s">
        <v>79</v>
      </c>
      <c r="AZ3" s="8" t="s">
        <v>438</v>
      </c>
      <c r="BA3" s="9" t="s">
        <v>80</v>
      </c>
      <c r="BB3" s="9" t="s">
        <v>117</v>
      </c>
      <c r="BC3" s="12" t="s">
        <v>81</v>
      </c>
      <c r="BD3" s="12" t="s">
        <v>82</v>
      </c>
      <c r="BE3" s="12" t="s">
        <v>83</v>
      </c>
      <c r="BF3" s="13" t="s">
        <v>84</v>
      </c>
      <c r="BG3" s="14" t="s">
        <v>85</v>
      </c>
      <c r="BH3" s="14"/>
      <c r="BI3" s="14" t="s">
        <v>86</v>
      </c>
      <c r="BJ3" s="14" t="s">
        <v>87</v>
      </c>
      <c r="BK3" s="15" t="s">
        <v>88</v>
      </c>
      <c r="BL3" s="12" t="s">
        <v>89</v>
      </c>
      <c r="BM3" s="12" t="s">
        <v>94</v>
      </c>
    </row>
    <row r="4" spans="4:65" ht="15" thickTop="1">
      <c r="D4" s="17" t="str">
        <f t="shared" ref="D4:D35" si="0">E4&amp;""&amp;F4&amp;""&amp;G4&amp;""&amp;H4</f>
        <v>EinzelfuttermittelKatzeInnereien, TNPs, Schlachtabfälle und Tiermehle</v>
      </c>
      <c r="E4" s="4" t="s">
        <v>240</v>
      </c>
      <c r="F4" s="19" t="s">
        <v>90</v>
      </c>
      <c r="G4" s="4" t="s">
        <v>2852</v>
      </c>
      <c r="L4" s="4" t="s">
        <v>2853</v>
      </c>
      <c r="M4">
        <f t="shared" ref="M4:M35" si="1">BF4</f>
        <v>0</v>
      </c>
      <c r="N4">
        <f t="shared" ref="N4:N35" si="2">BG4</f>
        <v>92</v>
      </c>
      <c r="P4">
        <f t="shared" ref="P4:P35" si="3">BI4</f>
        <v>0</v>
      </c>
      <c r="Q4"/>
      <c r="R4">
        <f t="shared" ref="R4:R35" si="4">BK4</f>
        <v>0</v>
      </c>
      <c r="U4" s="33" t="str">
        <f>IF(S4="","",S4/T4)</f>
        <v/>
      </c>
      <c r="Z4" s="4">
        <v>280</v>
      </c>
      <c r="BA4" s="21">
        <v>58</v>
      </c>
      <c r="BB4" s="4">
        <v>1.25</v>
      </c>
      <c r="BC4" s="4" t="s">
        <v>439</v>
      </c>
      <c r="BD4" s="4" t="s">
        <v>442</v>
      </c>
      <c r="BE4" s="4" t="s">
        <v>240</v>
      </c>
      <c r="BG4" s="4">
        <v>92</v>
      </c>
      <c r="BL4" s="4" t="s">
        <v>441</v>
      </c>
      <c r="BM4" s="30" t="s">
        <v>440</v>
      </c>
    </row>
    <row r="5" spans="4:65" ht="14.5">
      <c r="D5" s="17" t="str">
        <f t="shared" si="0"/>
        <v>EinzelfuttermittelKatzeGemüse, Obst und Faserstoffe</v>
      </c>
      <c r="E5" s="4" t="s">
        <v>240</v>
      </c>
      <c r="F5" s="19" t="s">
        <v>90</v>
      </c>
      <c r="G5" s="4" t="s">
        <v>2855</v>
      </c>
      <c r="I5" s="18"/>
      <c r="L5" s="32" t="s">
        <v>2882</v>
      </c>
      <c r="M5">
        <f t="shared" si="1"/>
        <v>0</v>
      </c>
      <c r="N5">
        <f t="shared" si="2"/>
        <v>0</v>
      </c>
      <c r="P5">
        <f t="shared" si="3"/>
        <v>0</v>
      </c>
      <c r="Q5"/>
      <c r="R5">
        <f t="shared" si="4"/>
        <v>98.8</v>
      </c>
      <c r="U5" s="33" t="str">
        <f t="shared" ref="U5:U68" si="5">IF(S5="","",S5/T5)</f>
        <v/>
      </c>
      <c r="BA5" s="4">
        <v>12.38</v>
      </c>
      <c r="BB5" s="4">
        <v>0.75</v>
      </c>
      <c r="BC5" s="4" t="s">
        <v>443</v>
      </c>
      <c r="BD5" s="4" t="s">
        <v>431</v>
      </c>
      <c r="BE5" s="4" t="s">
        <v>240</v>
      </c>
      <c r="BK5" s="4">
        <v>98.8</v>
      </c>
      <c r="BL5" s="4" t="s">
        <v>445</v>
      </c>
      <c r="BM5" s="4" t="s">
        <v>444</v>
      </c>
    </row>
    <row r="6" spans="4:65" ht="14.5">
      <c r="D6" s="17" t="str">
        <f t="shared" si="0"/>
        <v>EinzelfuttermittelKatzeInnereien, TNPs, Schlachtabfälle und Tiermehle</v>
      </c>
      <c r="E6" s="4" t="s">
        <v>240</v>
      </c>
      <c r="F6" s="19" t="s">
        <v>90</v>
      </c>
      <c r="G6" s="4" t="s">
        <v>2852</v>
      </c>
      <c r="L6" s="4" t="s">
        <v>2853</v>
      </c>
      <c r="M6">
        <f t="shared" si="1"/>
        <v>0</v>
      </c>
      <c r="N6">
        <f t="shared" si="2"/>
        <v>92</v>
      </c>
      <c r="P6">
        <f t="shared" si="3"/>
        <v>0</v>
      </c>
      <c r="Q6"/>
      <c r="R6">
        <f t="shared" si="4"/>
        <v>0</v>
      </c>
      <c r="U6" s="33" t="str">
        <f t="shared" si="5"/>
        <v/>
      </c>
      <c r="BA6" s="4">
        <v>27.6</v>
      </c>
      <c r="BB6" s="4">
        <v>1.2</v>
      </c>
      <c r="BC6" s="4" t="s">
        <v>300</v>
      </c>
      <c r="BD6" s="4" t="s">
        <v>431</v>
      </c>
      <c r="BE6" s="4" t="s">
        <v>240</v>
      </c>
      <c r="BG6" s="4">
        <v>92</v>
      </c>
      <c r="BL6" s="4" t="s">
        <v>449</v>
      </c>
      <c r="BM6" s="4" t="s">
        <v>448</v>
      </c>
    </row>
    <row r="7" spans="4:65" ht="14.5">
      <c r="D7" s="17" t="str">
        <f t="shared" si="0"/>
        <v>EinzelfuttermittelKatzeFleisch-, Fisch- und Algenprodukte</v>
      </c>
      <c r="E7" s="4" t="s">
        <v>240</v>
      </c>
      <c r="F7" s="19" t="s">
        <v>90</v>
      </c>
      <c r="G7" s="4" t="s">
        <v>2854</v>
      </c>
      <c r="L7" s="4" t="s">
        <v>278</v>
      </c>
      <c r="M7">
        <f t="shared" si="1"/>
        <v>0</v>
      </c>
      <c r="N7">
        <f t="shared" si="2"/>
        <v>0</v>
      </c>
      <c r="P7">
        <f t="shared" si="3"/>
        <v>0</v>
      </c>
      <c r="Q7"/>
      <c r="R7">
        <f t="shared" si="4"/>
        <v>0</v>
      </c>
      <c r="U7" s="33" t="str">
        <f t="shared" si="5"/>
        <v/>
      </c>
      <c r="BA7" s="4">
        <v>754.55</v>
      </c>
      <c r="BC7" s="4" t="s">
        <v>456</v>
      </c>
      <c r="BD7" s="4" t="s">
        <v>431</v>
      </c>
      <c r="BE7" s="4" t="s">
        <v>240</v>
      </c>
      <c r="BL7" s="4" t="s">
        <v>458</v>
      </c>
      <c r="BM7" s="30" t="s">
        <v>457</v>
      </c>
    </row>
    <row r="8" spans="4:65" ht="14.5">
      <c r="D8" s="17" t="str">
        <f t="shared" si="0"/>
        <v>EinzelfuttermittelKatzeGemüse, Obst und Faserstoffe</v>
      </c>
      <c r="E8" s="4" t="s">
        <v>240</v>
      </c>
      <c r="F8" s="19" t="s">
        <v>90</v>
      </c>
      <c r="G8" s="4" t="s">
        <v>2855</v>
      </c>
      <c r="I8" s="18"/>
      <c r="L8" s="27" t="s">
        <v>3216</v>
      </c>
      <c r="M8">
        <f t="shared" si="1"/>
        <v>0.8</v>
      </c>
      <c r="N8">
        <f t="shared" si="2"/>
        <v>0.4</v>
      </c>
      <c r="P8">
        <f t="shared" si="3"/>
        <v>0</v>
      </c>
      <c r="Q8"/>
      <c r="R8">
        <f t="shared" si="4"/>
        <v>0</v>
      </c>
      <c r="U8" s="33" t="str">
        <f t="shared" si="5"/>
        <v/>
      </c>
      <c r="BA8" s="4">
        <v>15.8</v>
      </c>
      <c r="BC8" s="4" t="s">
        <v>459</v>
      </c>
      <c r="BD8" s="4" t="s">
        <v>431</v>
      </c>
      <c r="BE8" s="4" t="s">
        <v>240</v>
      </c>
      <c r="BF8" s="4">
        <v>0.8</v>
      </c>
      <c r="BG8" s="4">
        <v>0.4</v>
      </c>
      <c r="BI8" s="4">
        <v>0</v>
      </c>
      <c r="BK8" s="4">
        <v>0</v>
      </c>
      <c r="BL8" s="4" t="s">
        <v>461</v>
      </c>
      <c r="BM8" s="30" t="s">
        <v>460</v>
      </c>
    </row>
    <row r="9" spans="4:65" ht="14.5">
      <c r="D9" s="17" t="str">
        <f t="shared" si="0"/>
        <v>EinzelfuttermittelKatzeFleisch-, Fisch- und Algenprodukte</v>
      </c>
      <c r="E9" s="4" t="s">
        <v>240</v>
      </c>
      <c r="F9" s="19" t="s">
        <v>90</v>
      </c>
      <c r="G9" s="4" t="s">
        <v>2854</v>
      </c>
      <c r="L9" s="4" t="s">
        <v>2860</v>
      </c>
      <c r="M9">
        <f t="shared" si="1"/>
        <v>0</v>
      </c>
      <c r="N9">
        <f t="shared" si="2"/>
        <v>0</v>
      </c>
      <c r="P9">
        <f t="shared" si="3"/>
        <v>0</v>
      </c>
      <c r="Q9"/>
      <c r="R9">
        <f t="shared" si="4"/>
        <v>0</v>
      </c>
      <c r="S9" s="4">
        <v>29600</v>
      </c>
      <c r="T9" s="4">
        <v>200</v>
      </c>
      <c r="U9" s="33">
        <f t="shared" si="5"/>
        <v>148</v>
      </c>
      <c r="BA9" s="4">
        <v>21</v>
      </c>
      <c r="BC9" s="4" t="s">
        <v>473</v>
      </c>
      <c r="BD9" s="4" t="s">
        <v>431</v>
      </c>
      <c r="BE9" s="4" t="s">
        <v>240</v>
      </c>
      <c r="BL9" s="4" t="s">
        <v>475</v>
      </c>
      <c r="BM9" s="4" t="s">
        <v>474</v>
      </c>
    </row>
    <row r="10" spans="4:65" ht="14.5">
      <c r="D10" s="17" t="str">
        <f t="shared" si="0"/>
        <v>EinzelfuttermittelKatzeEi- und Milchprodukte</v>
      </c>
      <c r="E10" s="4" t="s">
        <v>240</v>
      </c>
      <c r="F10" s="19" t="s">
        <v>90</v>
      </c>
      <c r="G10" s="4" t="s">
        <v>2856</v>
      </c>
      <c r="I10" s="18"/>
      <c r="L10" s="4" t="s">
        <v>2858</v>
      </c>
      <c r="M10">
        <f t="shared" si="1"/>
        <v>95.5</v>
      </c>
      <c r="N10">
        <f t="shared" si="2"/>
        <v>0</v>
      </c>
      <c r="P10">
        <f t="shared" si="3"/>
        <v>0</v>
      </c>
      <c r="R10">
        <f t="shared" si="4"/>
        <v>0</v>
      </c>
      <c r="S10" s="4">
        <v>38200</v>
      </c>
      <c r="T10" s="4">
        <v>100</v>
      </c>
      <c r="U10" s="33">
        <f t="shared" si="5"/>
        <v>382</v>
      </c>
      <c r="BA10" s="4">
        <v>34.4</v>
      </c>
      <c r="BC10" s="4" t="s">
        <v>477</v>
      </c>
      <c r="BD10" s="4" t="s">
        <v>431</v>
      </c>
      <c r="BE10" s="4" t="s">
        <v>240</v>
      </c>
      <c r="BF10" s="4">
        <v>95.5</v>
      </c>
      <c r="BL10" s="4" t="s">
        <v>479</v>
      </c>
      <c r="BM10" s="4" t="s">
        <v>478</v>
      </c>
    </row>
    <row r="11" spans="4:65" ht="14.5">
      <c r="D11" s="17" t="str">
        <f t="shared" si="0"/>
        <v>EinzelfuttermittelKatzeMineralstoffe</v>
      </c>
      <c r="E11" s="4" t="s">
        <v>240</v>
      </c>
      <c r="F11" s="19" t="s">
        <v>90</v>
      </c>
      <c r="G11" s="4" t="s">
        <v>437</v>
      </c>
      <c r="L11" s="4" t="s">
        <v>480</v>
      </c>
      <c r="M11">
        <f t="shared" si="1"/>
        <v>0</v>
      </c>
      <c r="N11">
        <f t="shared" si="2"/>
        <v>0</v>
      </c>
      <c r="P11">
        <f t="shared" si="3"/>
        <v>0</v>
      </c>
      <c r="R11">
        <f t="shared" si="4"/>
        <v>0</v>
      </c>
      <c r="S11" s="4">
        <v>29000</v>
      </c>
      <c r="T11" s="4">
        <v>22000</v>
      </c>
      <c r="U11" s="33">
        <f t="shared" si="5"/>
        <v>1.3181818181818181</v>
      </c>
      <c r="Y11" s="4">
        <v>90</v>
      </c>
      <c r="BA11" s="4">
        <v>36.25</v>
      </c>
      <c r="BC11" s="4" t="s">
        <v>480</v>
      </c>
      <c r="BD11" s="4" t="s">
        <v>431</v>
      </c>
      <c r="BE11" s="4" t="s">
        <v>240</v>
      </c>
      <c r="BL11" s="4" t="s">
        <v>482</v>
      </c>
      <c r="BM11" s="4" t="s">
        <v>481</v>
      </c>
    </row>
    <row r="12" spans="4:65" ht="14.5">
      <c r="D12" s="17" t="str">
        <f t="shared" si="0"/>
        <v>EinzelfuttermittelKatzeFleisch-, Fisch- und Algenprodukte</v>
      </c>
      <c r="E12" s="4" t="s">
        <v>240</v>
      </c>
      <c r="F12" s="19" t="s">
        <v>90</v>
      </c>
      <c r="G12" s="4" t="s">
        <v>2854</v>
      </c>
      <c r="L12" s="4" t="s">
        <v>2859</v>
      </c>
      <c r="M12">
        <f t="shared" si="1"/>
        <v>5.2</v>
      </c>
      <c r="N12">
        <f t="shared" si="2"/>
        <v>63</v>
      </c>
      <c r="P12">
        <f t="shared" si="3"/>
        <v>10.1</v>
      </c>
      <c r="R12">
        <f t="shared" si="4"/>
        <v>0</v>
      </c>
      <c r="U12" s="33" t="str">
        <f t="shared" si="5"/>
        <v/>
      </c>
      <c r="BA12" s="4">
        <v>106</v>
      </c>
      <c r="BB12" s="4">
        <v>1</v>
      </c>
      <c r="BC12" s="4" t="s">
        <v>503</v>
      </c>
      <c r="BD12" s="4" t="s">
        <v>431</v>
      </c>
      <c r="BE12" s="4" t="s">
        <v>240</v>
      </c>
      <c r="BF12" s="4">
        <v>5.2</v>
      </c>
      <c r="BG12" s="4">
        <v>63</v>
      </c>
      <c r="BI12" s="4">
        <v>10.1</v>
      </c>
      <c r="BL12" s="4" t="s">
        <v>505</v>
      </c>
      <c r="BM12" s="4" t="s">
        <v>504</v>
      </c>
    </row>
    <row r="13" spans="4:65" ht="14.5">
      <c r="D13" s="17" t="str">
        <f t="shared" si="0"/>
        <v>EinzelfuttermittelKatzeGemüse, Obst und Faserstoffe</v>
      </c>
      <c r="E13" s="4" t="s">
        <v>240</v>
      </c>
      <c r="F13" s="19" t="s">
        <v>90</v>
      </c>
      <c r="G13" s="4" t="s">
        <v>2855</v>
      </c>
      <c r="I13" s="18"/>
      <c r="L13" s="27" t="s">
        <v>506</v>
      </c>
      <c r="M13">
        <f t="shared" si="1"/>
        <v>0</v>
      </c>
      <c r="N13">
        <f t="shared" si="2"/>
        <v>0</v>
      </c>
      <c r="P13">
        <f t="shared" si="3"/>
        <v>11.9</v>
      </c>
      <c r="R13">
        <f t="shared" si="4"/>
        <v>14.2</v>
      </c>
      <c r="U13" s="33" t="str">
        <f t="shared" si="5"/>
        <v/>
      </c>
      <c r="BA13" s="4">
        <v>149</v>
      </c>
      <c r="BB13" s="4">
        <v>1.5</v>
      </c>
      <c r="BC13" s="4" t="s">
        <v>509</v>
      </c>
      <c r="BD13" s="4" t="s">
        <v>431</v>
      </c>
      <c r="BE13" s="4" t="s">
        <v>240</v>
      </c>
      <c r="BI13" s="4">
        <v>11.9</v>
      </c>
      <c r="BK13" s="4">
        <v>14.2</v>
      </c>
      <c r="BL13" s="4" t="s">
        <v>508</v>
      </c>
      <c r="BM13" s="4" t="s">
        <v>507</v>
      </c>
    </row>
    <row r="14" spans="4:65" ht="14.5">
      <c r="D14" s="17" t="str">
        <f t="shared" si="0"/>
        <v>EinzelfuttermittelKatzeGemüse, Obst und Faserstoffe</v>
      </c>
      <c r="E14" s="4" t="s">
        <v>240</v>
      </c>
      <c r="F14" s="19" t="s">
        <v>90</v>
      </c>
      <c r="G14" s="4" t="s">
        <v>2855</v>
      </c>
      <c r="L14" s="27" t="s">
        <v>334</v>
      </c>
      <c r="M14">
        <f t="shared" si="1"/>
        <v>0</v>
      </c>
      <c r="N14">
        <f t="shared" si="2"/>
        <v>8.6999999999999993</v>
      </c>
      <c r="P14">
        <f t="shared" si="3"/>
        <v>0.8</v>
      </c>
      <c r="R14">
        <f t="shared" si="4"/>
        <v>4.5999999999999996</v>
      </c>
      <c r="U14" s="33" t="str">
        <f t="shared" si="5"/>
        <v/>
      </c>
      <c r="BA14" s="4">
        <v>37.33</v>
      </c>
      <c r="BC14" s="4" t="s">
        <v>510</v>
      </c>
      <c r="BD14" s="4" t="s">
        <v>431</v>
      </c>
      <c r="BE14" s="4" t="s">
        <v>240</v>
      </c>
      <c r="BG14" s="4">
        <v>8.6999999999999993</v>
      </c>
      <c r="BI14" s="4">
        <v>0.8</v>
      </c>
      <c r="BK14" s="4">
        <v>4.5999999999999996</v>
      </c>
      <c r="BL14" s="4" t="s">
        <v>512</v>
      </c>
      <c r="BM14" s="4" t="s">
        <v>511</v>
      </c>
    </row>
    <row r="15" spans="4:65" ht="14.5">
      <c r="D15" s="17" t="str">
        <f t="shared" si="0"/>
        <v>EinzelfuttermittelKatzeFleisch-, Fisch- und Algenprodukte</v>
      </c>
      <c r="E15" s="4" t="s">
        <v>240</v>
      </c>
      <c r="F15" s="19" t="s">
        <v>90</v>
      </c>
      <c r="G15" s="4" t="s">
        <v>2854</v>
      </c>
      <c r="L15" s="4" t="s">
        <v>220</v>
      </c>
      <c r="M15">
        <f t="shared" si="1"/>
        <v>19</v>
      </c>
      <c r="N15">
        <f t="shared" si="2"/>
        <v>9.6</v>
      </c>
      <c r="P15">
        <f t="shared" si="3"/>
        <v>3.1</v>
      </c>
      <c r="R15">
        <f t="shared" si="4"/>
        <v>4.5999999999999996</v>
      </c>
      <c r="U15" s="33" t="str">
        <f t="shared" si="5"/>
        <v/>
      </c>
      <c r="AD15" s="4">
        <v>73100</v>
      </c>
      <c r="BA15" s="4">
        <v>16.75</v>
      </c>
      <c r="BC15" s="4" t="s">
        <v>513</v>
      </c>
      <c r="BD15" s="4" t="s">
        <v>431</v>
      </c>
      <c r="BE15" s="4" t="s">
        <v>240</v>
      </c>
      <c r="BF15" s="4">
        <v>19</v>
      </c>
      <c r="BG15" s="4">
        <v>9.6</v>
      </c>
      <c r="BI15" s="4">
        <v>3.1</v>
      </c>
      <c r="BK15" s="4">
        <v>4.5999999999999996</v>
      </c>
      <c r="BL15" s="4" t="s">
        <v>515</v>
      </c>
      <c r="BM15" s="4" t="s">
        <v>514</v>
      </c>
    </row>
    <row r="16" spans="4:65" ht="14.5">
      <c r="D16" s="17" t="str">
        <f t="shared" si="0"/>
        <v>EinzelfuttermittelKatzeFleisch-, Fisch- und Algenprodukte</v>
      </c>
      <c r="E16" s="4" t="s">
        <v>240</v>
      </c>
      <c r="F16" s="19" t="s">
        <v>90</v>
      </c>
      <c r="G16" s="4" t="s">
        <v>2854</v>
      </c>
      <c r="I16" s="18"/>
      <c r="L16" s="4" t="s">
        <v>2859</v>
      </c>
      <c r="M16">
        <f t="shared" si="1"/>
        <v>9.8000000000000007</v>
      </c>
      <c r="N16">
        <f t="shared" si="2"/>
        <v>69.8</v>
      </c>
      <c r="P16">
        <f t="shared" si="3"/>
        <v>5.7</v>
      </c>
      <c r="R16">
        <f t="shared" si="4"/>
        <v>0.3</v>
      </c>
      <c r="U16" s="33" t="str">
        <f t="shared" si="5"/>
        <v/>
      </c>
      <c r="BA16" s="4">
        <v>71.599999999999994</v>
      </c>
      <c r="BB16" s="4">
        <v>1</v>
      </c>
      <c r="BC16" s="4" t="s">
        <v>517</v>
      </c>
      <c r="BD16" s="4" t="s">
        <v>431</v>
      </c>
      <c r="BE16" s="4" t="s">
        <v>240</v>
      </c>
      <c r="BF16" s="4">
        <v>9.8000000000000007</v>
      </c>
      <c r="BG16" s="4">
        <v>69.8</v>
      </c>
      <c r="BI16" s="4">
        <v>5.7</v>
      </c>
      <c r="BK16" s="4">
        <v>0.3</v>
      </c>
      <c r="BL16" s="4" t="s">
        <v>519</v>
      </c>
      <c r="BM16" s="4" t="s">
        <v>518</v>
      </c>
    </row>
    <row r="17" spans="4:65" ht="14.5">
      <c r="D17" s="17" t="str">
        <f t="shared" si="0"/>
        <v>EinzelfuttermittelKatzeFleisch-, Fisch- und Algenprodukte</v>
      </c>
      <c r="E17" s="4" t="s">
        <v>240</v>
      </c>
      <c r="F17" s="19" t="s">
        <v>90</v>
      </c>
      <c r="G17" s="4" t="s">
        <v>2854</v>
      </c>
      <c r="L17" s="4" t="s">
        <v>2859</v>
      </c>
      <c r="M17">
        <f t="shared" si="1"/>
        <v>6.7</v>
      </c>
      <c r="N17">
        <f t="shared" si="2"/>
        <v>65.900000000000006</v>
      </c>
      <c r="P17">
        <f t="shared" si="3"/>
        <v>6.6</v>
      </c>
      <c r="R17">
        <f t="shared" si="4"/>
        <v>0</v>
      </c>
      <c r="U17" s="33" t="str">
        <f t="shared" si="5"/>
        <v/>
      </c>
      <c r="BA17" s="4">
        <v>72.67</v>
      </c>
      <c r="BC17" s="4" t="s">
        <v>520</v>
      </c>
      <c r="BD17" s="4" t="s">
        <v>431</v>
      </c>
      <c r="BE17" s="4" t="s">
        <v>240</v>
      </c>
      <c r="BF17" s="4">
        <v>6.7</v>
      </c>
      <c r="BG17" s="4">
        <v>65.900000000000006</v>
      </c>
      <c r="BI17" s="4">
        <v>6.6</v>
      </c>
      <c r="BL17" s="4" t="s">
        <v>522</v>
      </c>
      <c r="BM17" s="4" t="s">
        <v>521</v>
      </c>
    </row>
    <row r="18" spans="4:65" ht="14.5">
      <c r="D18" s="17" t="str">
        <f t="shared" si="0"/>
        <v>EinzelfuttermittelKatzeGemüse, Obst und Faserstoffe</v>
      </c>
      <c r="E18" s="4" t="s">
        <v>240</v>
      </c>
      <c r="F18" s="19" t="s">
        <v>90</v>
      </c>
      <c r="G18" s="32" t="s">
        <v>2855</v>
      </c>
      <c r="I18" s="18"/>
      <c r="L18" s="4" t="s">
        <v>2861</v>
      </c>
      <c r="M18">
        <f t="shared" si="1"/>
        <v>8</v>
      </c>
      <c r="N18">
        <f t="shared" si="2"/>
        <v>46</v>
      </c>
      <c r="P18">
        <f t="shared" si="3"/>
        <v>2.7</v>
      </c>
      <c r="R18">
        <f t="shared" si="4"/>
        <v>1</v>
      </c>
      <c r="S18" s="4">
        <v>200</v>
      </c>
      <c r="T18" s="4">
        <v>1400</v>
      </c>
      <c r="U18" s="33">
        <f t="shared" si="5"/>
        <v>0.14285714285714285</v>
      </c>
      <c r="V18" s="4">
        <v>200</v>
      </c>
      <c r="X18" s="4">
        <v>200</v>
      </c>
      <c r="Z18" s="4">
        <v>48</v>
      </c>
      <c r="AA18" s="4">
        <v>6</v>
      </c>
      <c r="AB18" s="4">
        <v>10</v>
      </c>
      <c r="AC18" s="4">
        <v>5</v>
      </c>
      <c r="AO18" s="4">
        <v>12.5</v>
      </c>
      <c r="AP18" s="4">
        <v>4.5</v>
      </c>
      <c r="AQ18" s="4">
        <v>4.5</v>
      </c>
      <c r="AS18" s="4">
        <v>85</v>
      </c>
      <c r="AV18" s="4">
        <v>1800</v>
      </c>
      <c r="BA18" s="4">
        <v>19</v>
      </c>
      <c r="BB18" s="4">
        <v>1</v>
      </c>
      <c r="BC18" s="4" t="s">
        <v>524</v>
      </c>
      <c r="BD18" s="4" t="s">
        <v>431</v>
      </c>
      <c r="BE18" s="4" t="s">
        <v>240</v>
      </c>
      <c r="BF18" s="4">
        <v>8</v>
      </c>
      <c r="BG18" s="4">
        <v>46</v>
      </c>
      <c r="BI18" s="4">
        <v>2.7</v>
      </c>
      <c r="BK18" s="4">
        <v>1</v>
      </c>
      <c r="BL18" s="4" t="s">
        <v>525</v>
      </c>
      <c r="BM18" s="4" t="s">
        <v>526</v>
      </c>
    </row>
    <row r="19" spans="4:65" ht="14.5">
      <c r="D19" s="17" t="str">
        <f t="shared" si="0"/>
        <v>EinzelfuttermittelKatzeGemüse, Obst und Faserstoffe</v>
      </c>
      <c r="E19" s="4" t="s">
        <v>240</v>
      </c>
      <c r="F19" s="19" t="s">
        <v>90</v>
      </c>
      <c r="G19" s="4" t="s">
        <v>2855</v>
      </c>
      <c r="L19" s="4" t="s">
        <v>2862</v>
      </c>
      <c r="M19">
        <f t="shared" si="1"/>
        <v>0</v>
      </c>
      <c r="N19">
        <f t="shared" si="2"/>
        <v>0</v>
      </c>
      <c r="P19">
        <f t="shared" si="3"/>
        <v>0</v>
      </c>
      <c r="R19">
        <f t="shared" si="4"/>
        <v>0</v>
      </c>
      <c r="U19" s="33" t="str">
        <f t="shared" si="5"/>
        <v/>
      </c>
      <c r="BA19" s="4">
        <v>66</v>
      </c>
      <c r="BC19" s="4" t="s">
        <v>527</v>
      </c>
      <c r="BD19" s="4" t="s">
        <v>431</v>
      </c>
      <c r="BE19" s="4" t="s">
        <v>240</v>
      </c>
      <c r="BL19" s="4" t="s">
        <v>529</v>
      </c>
      <c r="BM19" s="4" t="s">
        <v>528</v>
      </c>
    </row>
    <row r="20" spans="4:65" ht="14.5">
      <c r="D20" s="17" t="str">
        <f t="shared" si="0"/>
        <v>EinzelfuttermittelKatzeGetreide, Samen, Leguminosen und Kartoffel-Produkte</v>
      </c>
      <c r="E20" s="4" t="s">
        <v>240</v>
      </c>
      <c r="F20" s="19" t="s">
        <v>90</v>
      </c>
      <c r="G20" s="4" t="s">
        <v>2857</v>
      </c>
      <c r="L20" s="4" t="s">
        <v>2863</v>
      </c>
      <c r="M20">
        <f t="shared" si="1"/>
        <v>1.6</v>
      </c>
      <c r="N20">
        <f t="shared" si="2"/>
        <v>14.5</v>
      </c>
      <c r="P20">
        <f t="shared" si="3"/>
        <v>3.3</v>
      </c>
      <c r="R20">
        <f t="shared" si="4"/>
        <v>1</v>
      </c>
      <c r="U20" s="33" t="str">
        <f t="shared" si="5"/>
        <v/>
      </c>
      <c r="AO20" s="4">
        <v>202</v>
      </c>
      <c r="AP20" s="4">
        <v>295</v>
      </c>
      <c r="AQ20" s="4">
        <v>190</v>
      </c>
      <c r="AR20" s="4">
        <v>463</v>
      </c>
      <c r="AS20" s="4">
        <v>11900</v>
      </c>
      <c r="AT20" s="4">
        <v>3600</v>
      </c>
      <c r="AU20" s="4">
        <v>1210</v>
      </c>
      <c r="AV20" s="4">
        <v>41561</v>
      </c>
      <c r="BA20" s="4">
        <v>263</v>
      </c>
      <c r="BB20" s="4">
        <v>0.25</v>
      </c>
      <c r="BC20" s="4" t="s">
        <v>530</v>
      </c>
      <c r="BD20" s="4" t="s">
        <v>431</v>
      </c>
      <c r="BE20" s="4" t="s">
        <v>240</v>
      </c>
      <c r="BF20" s="4">
        <v>1.6</v>
      </c>
      <c r="BG20" s="4">
        <v>14.5</v>
      </c>
      <c r="BI20" s="4">
        <v>3.3</v>
      </c>
      <c r="BK20" s="4">
        <v>1</v>
      </c>
      <c r="BL20" s="4" t="s">
        <v>532</v>
      </c>
      <c r="BM20" s="4" t="s">
        <v>531</v>
      </c>
    </row>
    <row r="21" spans="4:65" ht="14.5">
      <c r="D21" s="17" t="str">
        <f t="shared" si="0"/>
        <v>EinzelfuttermittelKatzeFleisch-, Fisch- und Algenprodukte</v>
      </c>
      <c r="E21" s="4" t="s">
        <v>240</v>
      </c>
      <c r="F21" s="19" t="s">
        <v>90</v>
      </c>
      <c r="G21" s="4" t="s">
        <v>2854</v>
      </c>
      <c r="I21" s="18"/>
      <c r="L21" s="4" t="s">
        <v>2859</v>
      </c>
      <c r="M21">
        <f t="shared" si="1"/>
        <v>25</v>
      </c>
      <c r="N21">
        <f t="shared" si="2"/>
        <v>7.2</v>
      </c>
      <c r="O21"/>
      <c r="P21">
        <f t="shared" si="3"/>
        <v>2.6</v>
      </c>
      <c r="Q21" s="28"/>
      <c r="R21">
        <f t="shared" si="4"/>
        <v>0</v>
      </c>
      <c r="U21" s="33" t="str">
        <f t="shared" si="5"/>
        <v/>
      </c>
      <c r="AD21" s="4">
        <v>80000</v>
      </c>
      <c r="AF21" s="4">
        <f>AG21*EFM!$BO$13</f>
        <v>0</v>
      </c>
      <c r="AL21" s="4">
        <f>AK21*EFM!$BO$14</f>
        <v>0</v>
      </c>
      <c r="BA21" s="4">
        <v>297.33</v>
      </c>
      <c r="BB21" s="4">
        <v>0.5</v>
      </c>
      <c r="BC21" s="4" t="s">
        <v>1270</v>
      </c>
      <c r="BD21" s="4" t="s">
        <v>1269</v>
      </c>
      <c r="BE21" s="4" t="s">
        <v>240</v>
      </c>
      <c r="BF21" s="4">
        <v>25</v>
      </c>
      <c r="BG21" s="4">
        <v>7.2</v>
      </c>
      <c r="BI21" s="4">
        <v>2.6</v>
      </c>
      <c r="BL21" s="4" t="s">
        <v>196</v>
      </c>
      <c r="BM21" s="4" t="s">
        <v>197</v>
      </c>
    </row>
    <row r="22" spans="4:65" ht="14.5">
      <c r="D22" s="17" t="str">
        <f t="shared" si="0"/>
        <v>EinzelfuttermittelKatzeEi- und Milchprodukte</v>
      </c>
      <c r="E22" s="4" t="s">
        <v>240</v>
      </c>
      <c r="F22" s="19" t="s">
        <v>90</v>
      </c>
      <c r="G22" s="4" t="s">
        <v>2856</v>
      </c>
      <c r="I22" s="18"/>
      <c r="L22" s="4" t="s">
        <v>2858</v>
      </c>
      <c r="M22">
        <f t="shared" si="1"/>
        <v>96</v>
      </c>
      <c r="N22">
        <f t="shared" si="2"/>
        <v>0</v>
      </c>
      <c r="P22">
        <f t="shared" si="3"/>
        <v>0</v>
      </c>
      <c r="Q22"/>
      <c r="R22">
        <f t="shared" si="4"/>
        <v>0</v>
      </c>
      <c r="S22" s="4">
        <v>37100</v>
      </c>
      <c r="T22" s="4">
        <v>1</v>
      </c>
      <c r="U22" s="33">
        <f t="shared" si="5"/>
        <v>37100</v>
      </c>
      <c r="AF22" s="4">
        <f>AG22*EFM!$BO$13</f>
        <v>0</v>
      </c>
      <c r="AL22" s="4">
        <f>AK22*EFM!$BO$14</f>
        <v>0</v>
      </c>
      <c r="BA22" s="4">
        <v>79.959999999999994</v>
      </c>
      <c r="BB22" s="4">
        <v>0.3</v>
      </c>
      <c r="BC22" s="4" t="s">
        <v>306</v>
      </c>
      <c r="BD22" s="4" t="s">
        <v>535</v>
      </c>
      <c r="BE22" s="4" t="s">
        <v>240</v>
      </c>
      <c r="BF22" s="4">
        <v>96</v>
      </c>
      <c r="BI22" s="29"/>
      <c r="BJ22" s="30"/>
      <c r="BL22" s="4" t="s">
        <v>308</v>
      </c>
      <c r="BM22" s="4" t="s">
        <v>307</v>
      </c>
    </row>
    <row r="23" spans="4:65" ht="14.5">
      <c r="D23" s="17" t="str">
        <f t="shared" si="0"/>
        <v>EinzelfuttermittelKatzeGemüse, Obst und Faserstoffe</v>
      </c>
      <c r="E23" s="4" t="s">
        <v>240</v>
      </c>
      <c r="F23" s="19" t="s">
        <v>90</v>
      </c>
      <c r="G23" s="4" t="s">
        <v>2855</v>
      </c>
      <c r="L23" s="27" t="s">
        <v>3264</v>
      </c>
      <c r="M23">
        <f t="shared" si="1"/>
        <v>5.5</v>
      </c>
      <c r="N23">
        <f t="shared" si="2"/>
        <v>3.67</v>
      </c>
      <c r="P23">
        <f t="shared" si="3"/>
        <v>0.5</v>
      </c>
      <c r="R23">
        <f t="shared" si="4"/>
        <v>5.0999999999999996</v>
      </c>
      <c r="U23" s="33" t="str">
        <f t="shared" si="5"/>
        <v/>
      </c>
      <c r="BA23" s="4">
        <v>47.98</v>
      </c>
      <c r="BB23" s="4">
        <v>0.5</v>
      </c>
      <c r="BC23" s="4" t="s">
        <v>337</v>
      </c>
      <c r="BD23" s="4" t="s">
        <v>535</v>
      </c>
      <c r="BE23" s="4" t="s">
        <v>240</v>
      </c>
      <c r="BF23" s="4">
        <v>5.5</v>
      </c>
      <c r="BG23" s="4">
        <v>3.67</v>
      </c>
      <c r="BI23" s="4">
        <v>0.5</v>
      </c>
      <c r="BK23" s="4">
        <v>5.0999999999999996</v>
      </c>
      <c r="BL23" s="4" t="s">
        <v>339</v>
      </c>
      <c r="BM23" s="4" t="s">
        <v>338</v>
      </c>
    </row>
    <row r="24" spans="4:65" ht="14.5">
      <c r="D24" s="17" t="str">
        <f t="shared" si="0"/>
        <v>EinzelfuttermittelKatzeFleisch-, Fisch- und Algenprodukte</v>
      </c>
      <c r="E24" s="4" t="s">
        <v>240</v>
      </c>
      <c r="F24" s="19" t="s">
        <v>90</v>
      </c>
      <c r="G24" s="4" t="s">
        <v>2854</v>
      </c>
      <c r="L24" s="4" t="s">
        <v>2864</v>
      </c>
      <c r="M24">
        <f t="shared" si="1"/>
        <v>0</v>
      </c>
      <c r="N24">
        <f t="shared" si="2"/>
        <v>57.5</v>
      </c>
      <c r="P24">
        <f t="shared" si="3"/>
        <v>9.9</v>
      </c>
      <c r="R24">
        <f t="shared" si="4"/>
        <v>0</v>
      </c>
      <c r="U24" s="33" t="str">
        <f t="shared" si="5"/>
        <v/>
      </c>
      <c r="BA24" s="4">
        <v>133.27000000000001</v>
      </c>
      <c r="BB24" s="4">
        <v>1.5</v>
      </c>
      <c r="BC24" s="4" t="s">
        <v>702</v>
      </c>
      <c r="BD24" s="4" t="s">
        <v>703</v>
      </c>
      <c r="BE24" s="4" t="s">
        <v>240</v>
      </c>
      <c r="BG24" s="4">
        <v>57.5</v>
      </c>
      <c r="BI24" s="4">
        <v>9.9</v>
      </c>
      <c r="BL24" s="4" t="s">
        <v>705</v>
      </c>
      <c r="BM24" s="4" t="s">
        <v>704</v>
      </c>
    </row>
    <row r="25" spans="4:65" ht="14.5">
      <c r="D25" s="17" t="str">
        <f t="shared" si="0"/>
        <v>EinzelfuttermittelKatzeFleisch-, Fisch- und Algenprodukte</v>
      </c>
      <c r="E25" s="4" t="s">
        <v>240</v>
      </c>
      <c r="F25" s="19" t="s">
        <v>90</v>
      </c>
      <c r="G25" s="4" t="s">
        <v>2854</v>
      </c>
      <c r="I25" s="18"/>
      <c r="L25" s="4" t="s">
        <v>220</v>
      </c>
      <c r="M25">
        <f t="shared" si="1"/>
        <v>19.7</v>
      </c>
      <c r="N25">
        <f t="shared" si="2"/>
        <v>0</v>
      </c>
      <c r="P25">
        <f t="shared" si="3"/>
        <v>0</v>
      </c>
      <c r="R25">
        <f t="shared" si="4"/>
        <v>0</v>
      </c>
      <c r="U25" s="33" t="str">
        <f t="shared" si="5"/>
        <v/>
      </c>
      <c r="BA25" s="4">
        <v>20.65</v>
      </c>
      <c r="BB25" s="4">
        <v>3.5</v>
      </c>
      <c r="BC25" s="4" t="s">
        <v>706</v>
      </c>
      <c r="BD25" s="4" t="s">
        <v>703</v>
      </c>
      <c r="BE25" s="4" t="s">
        <v>240</v>
      </c>
      <c r="BF25" s="4">
        <v>19.7</v>
      </c>
      <c r="BL25" s="4" t="s">
        <v>708</v>
      </c>
      <c r="BM25" s="4" t="s">
        <v>707</v>
      </c>
    </row>
    <row r="26" spans="4:65" ht="14.5">
      <c r="D26" s="17" t="str">
        <f t="shared" si="0"/>
        <v>EinzelfuttermittelKatzeMineralstoffe</v>
      </c>
      <c r="E26" s="4" t="s">
        <v>240</v>
      </c>
      <c r="F26" s="19" t="s">
        <v>90</v>
      </c>
      <c r="G26" s="32" t="s">
        <v>437</v>
      </c>
      <c r="L26" s="4" t="s">
        <v>3215</v>
      </c>
      <c r="M26">
        <f t="shared" si="1"/>
        <v>0.4</v>
      </c>
      <c r="N26">
        <f t="shared" si="2"/>
        <v>0</v>
      </c>
      <c r="P26">
        <f t="shared" si="3"/>
        <v>0</v>
      </c>
      <c r="R26">
        <f t="shared" si="4"/>
        <v>2.4</v>
      </c>
      <c r="U26" s="33" t="str">
        <f t="shared" si="5"/>
        <v/>
      </c>
      <c r="BA26" s="4">
        <v>53.96</v>
      </c>
      <c r="BB26" s="4">
        <v>2.5</v>
      </c>
      <c r="BC26" s="4" t="s">
        <v>712</v>
      </c>
      <c r="BD26" s="4" t="s">
        <v>703</v>
      </c>
      <c r="BE26" s="4" t="s">
        <v>240</v>
      </c>
      <c r="BF26" s="4">
        <v>0.4</v>
      </c>
      <c r="BK26" s="4">
        <v>2.4</v>
      </c>
      <c r="BL26" s="4" t="s">
        <v>714</v>
      </c>
      <c r="BM26" s="4" t="s">
        <v>713</v>
      </c>
    </row>
    <row r="27" spans="4:65" ht="14.5">
      <c r="D27" s="17" t="str">
        <f t="shared" si="0"/>
        <v>EinzelfuttermittelKatzeEi- und Milchprodukte</v>
      </c>
      <c r="E27" s="4" t="s">
        <v>240</v>
      </c>
      <c r="F27" s="19" t="s">
        <v>90</v>
      </c>
      <c r="G27" s="4" t="s">
        <v>2856</v>
      </c>
      <c r="L27" s="4" t="s">
        <v>2858</v>
      </c>
      <c r="M27">
        <f t="shared" si="1"/>
        <v>96</v>
      </c>
      <c r="N27">
        <f t="shared" si="2"/>
        <v>0</v>
      </c>
      <c r="P27">
        <f t="shared" si="3"/>
        <v>0</v>
      </c>
      <c r="R27">
        <f t="shared" si="4"/>
        <v>0</v>
      </c>
      <c r="S27" s="4">
        <v>37000</v>
      </c>
      <c r="T27" s="4">
        <v>100</v>
      </c>
      <c r="U27" s="33">
        <f t="shared" si="5"/>
        <v>370</v>
      </c>
      <c r="BA27" s="4">
        <v>29.96</v>
      </c>
      <c r="BB27" s="4">
        <v>1.2</v>
      </c>
      <c r="BC27" s="4" t="s">
        <v>729</v>
      </c>
      <c r="BD27" s="4" t="s">
        <v>703</v>
      </c>
      <c r="BE27" s="4" t="s">
        <v>240</v>
      </c>
      <c r="BF27" s="4">
        <v>96</v>
      </c>
      <c r="BL27" s="4" t="s">
        <v>731</v>
      </c>
      <c r="BM27" s="4" t="s">
        <v>730</v>
      </c>
    </row>
    <row r="28" spans="4:65" ht="14.5">
      <c r="D28" s="17" t="str">
        <f t="shared" si="0"/>
        <v>EinzelfuttermittelKatzeGemüse, Obst und Faserstoffe</v>
      </c>
      <c r="E28" s="4" t="s">
        <v>240</v>
      </c>
      <c r="F28" s="19" t="s">
        <v>90</v>
      </c>
      <c r="G28" s="4" t="s">
        <v>2855</v>
      </c>
      <c r="I28" s="18"/>
      <c r="L28" s="4" t="s">
        <v>2865</v>
      </c>
      <c r="M28">
        <f t="shared" si="1"/>
        <v>22</v>
      </c>
      <c r="N28">
        <f t="shared" si="2"/>
        <v>0</v>
      </c>
      <c r="P28">
        <f t="shared" si="3"/>
        <v>0</v>
      </c>
      <c r="R28">
        <f t="shared" si="4"/>
        <v>80</v>
      </c>
      <c r="U28" s="33" t="str">
        <f t="shared" si="5"/>
        <v/>
      </c>
      <c r="BA28" s="4">
        <v>34.979999999999997</v>
      </c>
      <c r="BB28" s="4">
        <v>4</v>
      </c>
      <c r="BC28" s="4" t="s">
        <v>740</v>
      </c>
      <c r="BD28" s="4" t="s">
        <v>703</v>
      </c>
      <c r="BE28" s="4" t="s">
        <v>240</v>
      </c>
      <c r="BF28" s="4">
        <v>22</v>
      </c>
      <c r="BK28" s="4">
        <v>80</v>
      </c>
      <c r="BL28" s="4" t="s">
        <v>741</v>
      </c>
      <c r="BM28" s="4" t="s">
        <v>739</v>
      </c>
    </row>
    <row r="29" spans="4:65" ht="14.5">
      <c r="D29" s="17" t="str">
        <f t="shared" si="0"/>
        <v>EinzelfuttermittelKatzeInnereien, TNPs, Schlachtabfälle und Tiermehle</v>
      </c>
      <c r="E29" s="4" t="s">
        <v>240</v>
      </c>
      <c r="F29" s="19" t="s">
        <v>90</v>
      </c>
      <c r="G29" s="4" t="s">
        <v>2852</v>
      </c>
      <c r="L29" s="4" t="s">
        <v>2853</v>
      </c>
      <c r="M29">
        <f t="shared" si="1"/>
        <v>0</v>
      </c>
      <c r="N29">
        <f t="shared" si="2"/>
        <v>92</v>
      </c>
      <c r="P29">
        <f t="shared" si="3"/>
        <v>0</v>
      </c>
      <c r="R29">
        <f t="shared" si="4"/>
        <v>0</v>
      </c>
      <c r="U29" s="33" t="str">
        <f t="shared" si="5"/>
        <v/>
      </c>
      <c r="Z29" s="4">
        <v>250</v>
      </c>
      <c r="BA29" s="4">
        <v>31.96</v>
      </c>
      <c r="BB29" s="4">
        <v>1.2</v>
      </c>
      <c r="BC29" s="4" t="s">
        <v>804</v>
      </c>
      <c r="BD29" s="4" t="s">
        <v>703</v>
      </c>
      <c r="BE29" s="4" t="s">
        <v>240</v>
      </c>
      <c r="BG29" s="4">
        <v>92</v>
      </c>
      <c r="BL29" s="4" t="s">
        <v>806</v>
      </c>
      <c r="BM29" s="4" t="s">
        <v>805</v>
      </c>
    </row>
    <row r="30" spans="4:65" ht="14.5">
      <c r="D30" s="17" t="str">
        <f t="shared" si="0"/>
        <v>EinzelfuttermittelKatzeFleisch-, Fisch- und Algenprodukte</v>
      </c>
      <c r="E30" s="4" t="s">
        <v>240</v>
      </c>
      <c r="F30" s="19" t="s">
        <v>90</v>
      </c>
      <c r="G30" s="4" t="s">
        <v>2854</v>
      </c>
      <c r="I30" s="18"/>
      <c r="L30" s="4" t="s">
        <v>2860</v>
      </c>
      <c r="M30">
        <f t="shared" si="1"/>
        <v>93.5</v>
      </c>
      <c r="N30">
        <f t="shared" si="2"/>
        <v>0.5</v>
      </c>
      <c r="P30">
        <f t="shared" si="3"/>
        <v>0.5</v>
      </c>
      <c r="R30">
        <f t="shared" si="4"/>
        <v>1</v>
      </c>
      <c r="S30" s="4">
        <v>3400</v>
      </c>
      <c r="T30" s="4">
        <v>40</v>
      </c>
      <c r="U30" s="33">
        <f t="shared" si="5"/>
        <v>85</v>
      </c>
      <c r="V30" s="4">
        <v>2340</v>
      </c>
      <c r="W30" s="4">
        <v>40</v>
      </c>
      <c r="X30" s="4">
        <v>730</v>
      </c>
      <c r="AD30" s="4">
        <v>2000</v>
      </c>
      <c r="BA30" s="4">
        <v>63.92</v>
      </c>
      <c r="BB30" s="4">
        <v>0.8</v>
      </c>
      <c r="BC30" s="4" t="s">
        <v>814</v>
      </c>
      <c r="BD30" s="4" t="s">
        <v>703</v>
      </c>
      <c r="BE30" s="4" t="s">
        <v>240</v>
      </c>
      <c r="BF30" s="4">
        <v>93.5</v>
      </c>
      <c r="BG30" s="4">
        <v>0.5</v>
      </c>
      <c r="BI30" s="4">
        <v>0.5</v>
      </c>
      <c r="BK30" s="4">
        <v>1</v>
      </c>
      <c r="BL30" s="4" t="s">
        <v>816</v>
      </c>
      <c r="BM30" s="4" t="s">
        <v>815</v>
      </c>
    </row>
    <row r="31" spans="4:65" ht="14.5">
      <c r="D31" s="17" t="str">
        <f t="shared" si="0"/>
        <v>EinzelfuttermittelKatzeGemüse, Obst und Faserstoffe</v>
      </c>
      <c r="E31" s="4" t="s">
        <v>240</v>
      </c>
      <c r="F31" s="19" t="s">
        <v>90</v>
      </c>
      <c r="G31" s="32" t="s">
        <v>2855</v>
      </c>
      <c r="L31" s="4" t="s">
        <v>2861</v>
      </c>
      <c r="M31">
        <f t="shared" si="1"/>
        <v>0</v>
      </c>
      <c r="N31">
        <f t="shared" si="2"/>
        <v>38.700000000000003</v>
      </c>
      <c r="P31">
        <f t="shared" si="3"/>
        <v>0</v>
      </c>
      <c r="R31">
        <f t="shared" si="4"/>
        <v>0</v>
      </c>
      <c r="U31" s="33" t="str">
        <f t="shared" si="5"/>
        <v/>
      </c>
      <c r="BA31" s="4">
        <v>112.6</v>
      </c>
      <c r="BC31" s="4" t="s">
        <v>895</v>
      </c>
      <c r="BD31" s="4" t="s">
        <v>883</v>
      </c>
      <c r="BE31" s="4" t="s">
        <v>240</v>
      </c>
      <c r="BG31" s="4">
        <v>38.700000000000003</v>
      </c>
      <c r="BL31" s="4" t="s">
        <v>897</v>
      </c>
      <c r="BM31" s="30" t="s">
        <v>896</v>
      </c>
    </row>
    <row r="32" spans="4:65" ht="14.5">
      <c r="D32" s="17" t="str">
        <f t="shared" si="0"/>
        <v>EinzelfuttermittelKatzeFleisch-, Fisch- und Algenprodukte</v>
      </c>
      <c r="E32" s="4" t="s">
        <v>240</v>
      </c>
      <c r="F32" s="19" t="s">
        <v>90</v>
      </c>
      <c r="G32" s="4" t="s">
        <v>2854</v>
      </c>
      <c r="L32" s="4" t="s">
        <v>220</v>
      </c>
      <c r="M32">
        <f t="shared" si="1"/>
        <v>17</v>
      </c>
      <c r="N32">
        <f t="shared" si="2"/>
        <v>6</v>
      </c>
      <c r="P32">
        <f t="shared" si="3"/>
        <v>0</v>
      </c>
      <c r="R32">
        <f t="shared" si="4"/>
        <v>6</v>
      </c>
      <c r="U32" s="33" t="str">
        <f t="shared" si="5"/>
        <v/>
      </c>
      <c r="BA32" s="4">
        <v>498.7</v>
      </c>
      <c r="BB32" s="4">
        <v>0.5</v>
      </c>
      <c r="BC32" s="4" t="s">
        <v>933</v>
      </c>
      <c r="BD32" s="4" t="s">
        <v>936</v>
      </c>
      <c r="BE32" s="4" t="s">
        <v>240</v>
      </c>
      <c r="BF32" s="4">
        <v>17</v>
      </c>
      <c r="BG32" s="4">
        <v>6</v>
      </c>
      <c r="BK32" s="4">
        <v>6</v>
      </c>
      <c r="BL32" s="4" t="s">
        <v>935</v>
      </c>
      <c r="BM32" s="4" t="s">
        <v>934</v>
      </c>
    </row>
    <row r="33" spans="1:65" ht="17.5">
      <c r="D33" s="17" t="str">
        <f t="shared" si="0"/>
        <v>EinzelfuttermittelKatzeFleisch-, Fisch- und Algenprodukte</v>
      </c>
      <c r="E33" s="4" t="s">
        <v>240</v>
      </c>
      <c r="F33" s="19" t="s">
        <v>90</v>
      </c>
      <c r="G33" s="4" t="s">
        <v>2854</v>
      </c>
      <c r="I33" s="18"/>
      <c r="L33" s="4" t="s">
        <v>2864</v>
      </c>
      <c r="M33">
        <f t="shared" si="1"/>
        <v>0</v>
      </c>
      <c r="N33">
        <f t="shared" si="2"/>
        <v>61.1</v>
      </c>
      <c r="P33">
        <f t="shared" si="3"/>
        <v>11.5</v>
      </c>
      <c r="R33">
        <f t="shared" si="4"/>
        <v>0</v>
      </c>
      <c r="U33" s="33" t="str">
        <f t="shared" si="5"/>
        <v/>
      </c>
      <c r="BA33" s="4">
        <v>134.19999999999999</v>
      </c>
      <c r="BB33" s="4">
        <v>0.5</v>
      </c>
      <c r="BC33" s="4" t="s">
        <v>92</v>
      </c>
      <c r="BD33" s="4" t="s">
        <v>997</v>
      </c>
      <c r="BE33" s="4" t="s">
        <v>240</v>
      </c>
      <c r="BG33" s="4">
        <v>61.1</v>
      </c>
      <c r="BI33" s="4">
        <v>11.5</v>
      </c>
      <c r="BL33" s="4" t="s">
        <v>1015</v>
      </c>
      <c r="BM33" s="4" t="s">
        <v>1014</v>
      </c>
    </row>
    <row r="34" spans="1:65" ht="14.5">
      <c r="D34" s="17" t="str">
        <f t="shared" si="0"/>
        <v>EinzelfuttermittelKatzeEi- und Milchprodukte</v>
      </c>
      <c r="E34" s="4" t="s">
        <v>240</v>
      </c>
      <c r="F34" s="19" t="s">
        <v>90</v>
      </c>
      <c r="G34" s="4" t="s">
        <v>2856</v>
      </c>
      <c r="L34" s="4" t="s">
        <v>2858</v>
      </c>
      <c r="M34">
        <f t="shared" si="1"/>
        <v>92.8</v>
      </c>
      <c r="N34">
        <f t="shared" si="2"/>
        <v>0</v>
      </c>
      <c r="P34">
        <f t="shared" si="3"/>
        <v>0</v>
      </c>
      <c r="R34">
        <f t="shared" si="4"/>
        <v>0</v>
      </c>
      <c r="S34" s="4">
        <v>35700</v>
      </c>
      <c r="T34" s="4">
        <v>100</v>
      </c>
      <c r="U34" s="33">
        <f t="shared" si="5"/>
        <v>357</v>
      </c>
      <c r="BA34" s="4">
        <v>27.8</v>
      </c>
      <c r="BB34" s="4">
        <v>0.5</v>
      </c>
      <c r="BC34" s="4" t="s">
        <v>1029</v>
      </c>
      <c r="BD34" s="4" t="s">
        <v>997</v>
      </c>
      <c r="BE34" s="4" t="s">
        <v>240</v>
      </c>
      <c r="BF34" s="4">
        <v>92.8</v>
      </c>
      <c r="BL34" s="4" t="s">
        <v>731</v>
      </c>
      <c r="BM34" s="4" t="s">
        <v>1030</v>
      </c>
    </row>
    <row r="35" spans="1:65" ht="17.5">
      <c r="D35" s="17" t="str">
        <f t="shared" si="0"/>
        <v>EinzelfuttermittelKatzeGemüse, Obst und Faserstoffe</v>
      </c>
      <c r="E35" s="4" t="s">
        <v>240</v>
      </c>
      <c r="F35" s="19" t="s">
        <v>90</v>
      </c>
      <c r="G35" s="4" t="s">
        <v>2855</v>
      </c>
      <c r="L35" s="27" t="s">
        <v>506</v>
      </c>
      <c r="M35">
        <f t="shared" si="1"/>
        <v>0</v>
      </c>
      <c r="N35">
        <f t="shared" si="2"/>
        <v>0</v>
      </c>
      <c r="P35">
        <f t="shared" si="3"/>
        <v>0</v>
      </c>
      <c r="R35">
        <f t="shared" si="4"/>
        <v>20.5</v>
      </c>
      <c r="U35" s="33" t="str">
        <f t="shared" si="5"/>
        <v/>
      </c>
      <c r="BA35" s="4">
        <v>59.5</v>
      </c>
      <c r="BB35" s="4">
        <v>1.5</v>
      </c>
      <c r="BC35" s="4" t="s">
        <v>1047</v>
      </c>
      <c r="BD35" s="4" t="s">
        <v>997</v>
      </c>
      <c r="BE35" s="4" t="s">
        <v>240</v>
      </c>
      <c r="BK35" s="4">
        <v>20.5</v>
      </c>
      <c r="BL35" s="4" t="s">
        <v>1049</v>
      </c>
      <c r="BM35" s="4" t="s">
        <v>1048</v>
      </c>
    </row>
    <row r="36" spans="1:65" ht="17.5">
      <c r="D36" s="17" t="str">
        <f t="shared" ref="D36:D67" si="6">E36&amp;""&amp;F36&amp;""&amp;G36&amp;""&amp;H36</f>
        <v>EinzelfuttermittelKatzeFleisch-, Fisch- und Algenprodukte</v>
      </c>
      <c r="E36" s="4" t="s">
        <v>240</v>
      </c>
      <c r="F36" s="19" t="s">
        <v>90</v>
      </c>
      <c r="G36" s="4" t="s">
        <v>2854</v>
      </c>
      <c r="I36" s="18"/>
      <c r="L36" s="4" t="s">
        <v>220</v>
      </c>
      <c r="M36">
        <f t="shared" ref="M36:M67" si="7">BF36</f>
        <v>11.2</v>
      </c>
      <c r="N36">
        <f t="shared" ref="N36:N67" si="8">BG36</f>
        <v>0</v>
      </c>
      <c r="P36">
        <f t="shared" ref="P36:P67" si="9">BI36</f>
        <v>0</v>
      </c>
      <c r="R36">
        <f t="shared" ref="R36:R67" si="10">BK36</f>
        <v>0</v>
      </c>
      <c r="U36" s="33" t="str">
        <f t="shared" si="5"/>
        <v/>
      </c>
      <c r="AD36" s="4">
        <v>77000</v>
      </c>
      <c r="BA36" s="4">
        <v>44.5</v>
      </c>
      <c r="BB36" s="4">
        <v>0.15</v>
      </c>
      <c r="BC36" s="4" t="s">
        <v>1054</v>
      </c>
      <c r="BD36" s="4" t="s">
        <v>997</v>
      </c>
      <c r="BE36" s="4" t="s">
        <v>240</v>
      </c>
      <c r="BF36" s="4">
        <v>11.2</v>
      </c>
      <c r="BL36" s="4" t="s">
        <v>1056</v>
      </c>
      <c r="BM36" s="4" t="s">
        <v>1055</v>
      </c>
    </row>
    <row r="37" spans="1:65" ht="17.5">
      <c r="D37" s="17" t="str">
        <f t="shared" si="6"/>
        <v>EinzelfuttermittelKatzeFleisch-, Fisch- und Algenprodukte</v>
      </c>
      <c r="E37" s="4" t="s">
        <v>240</v>
      </c>
      <c r="F37" s="19" t="s">
        <v>90</v>
      </c>
      <c r="G37" s="4" t="s">
        <v>2854</v>
      </c>
      <c r="L37" s="4" t="s">
        <v>2859</v>
      </c>
      <c r="M37">
        <f t="shared" si="7"/>
        <v>8.4</v>
      </c>
      <c r="N37">
        <f t="shared" si="8"/>
        <v>23.5</v>
      </c>
      <c r="P37">
        <f t="shared" si="9"/>
        <v>39.1</v>
      </c>
      <c r="R37">
        <f t="shared" si="10"/>
        <v>0</v>
      </c>
      <c r="U37" s="33" t="str">
        <f t="shared" si="5"/>
        <v/>
      </c>
      <c r="BA37" s="4">
        <v>127.6</v>
      </c>
      <c r="BB37" s="4">
        <v>0.08</v>
      </c>
      <c r="BC37" s="4" t="s">
        <v>1060</v>
      </c>
      <c r="BD37" s="4" t="s">
        <v>997</v>
      </c>
      <c r="BE37" s="4" t="s">
        <v>240</v>
      </c>
      <c r="BF37" s="4">
        <v>8.4</v>
      </c>
      <c r="BG37" s="4">
        <v>23.5</v>
      </c>
      <c r="BI37" s="4">
        <v>39.1</v>
      </c>
      <c r="BK37" s="4">
        <v>0</v>
      </c>
      <c r="BL37" s="4" t="s">
        <v>1062</v>
      </c>
      <c r="BM37" s="4" t="s">
        <v>1061</v>
      </c>
    </row>
    <row r="38" spans="1:65" ht="14.5">
      <c r="D38" s="17" t="str">
        <f t="shared" si="6"/>
        <v>EinzelfuttermittelKatzeGemüse, Obst und Faserstoffe</v>
      </c>
      <c r="E38" s="4" t="s">
        <v>240</v>
      </c>
      <c r="F38" s="19" t="s">
        <v>90</v>
      </c>
      <c r="G38" s="4" t="s">
        <v>2855</v>
      </c>
      <c r="L38" s="4" t="s">
        <v>2865</v>
      </c>
      <c r="M38">
        <f t="shared" si="7"/>
        <v>0</v>
      </c>
      <c r="N38">
        <f t="shared" si="8"/>
        <v>0</v>
      </c>
      <c r="P38">
        <f t="shared" si="9"/>
        <v>0</v>
      </c>
      <c r="R38">
        <f t="shared" si="10"/>
        <v>0</v>
      </c>
      <c r="U38" s="33" t="str">
        <f t="shared" si="5"/>
        <v/>
      </c>
      <c r="BA38" s="4">
        <v>19.45</v>
      </c>
      <c r="BB38" s="4">
        <v>3</v>
      </c>
      <c r="BC38" s="4" t="s">
        <v>1063</v>
      </c>
      <c r="BD38" s="4" t="s">
        <v>997</v>
      </c>
      <c r="BE38" s="4" t="s">
        <v>240</v>
      </c>
      <c r="BL38" s="4" t="s">
        <v>1065</v>
      </c>
      <c r="BM38" s="4" t="s">
        <v>1064</v>
      </c>
    </row>
    <row r="39" spans="1:65" ht="14.5">
      <c r="D39" s="17" t="str">
        <f t="shared" si="6"/>
        <v>EinzelfuttermittelKatzeGetreide, Samen, Leguminosen und Kartoffel-Produkte</v>
      </c>
      <c r="E39" s="4" t="s">
        <v>240</v>
      </c>
      <c r="F39" s="19" t="s">
        <v>90</v>
      </c>
      <c r="G39" s="4" t="s">
        <v>2857</v>
      </c>
      <c r="I39" s="18"/>
      <c r="L39" s="4" t="s">
        <v>2866</v>
      </c>
      <c r="M39">
        <f t="shared" si="7"/>
        <v>0</v>
      </c>
      <c r="N39">
        <f t="shared" si="8"/>
        <v>0</v>
      </c>
      <c r="P39">
        <f t="shared" si="9"/>
        <v>0</v>
      </c>
      <c r="R39">
        <f t="shared" si="10"/>
        <v>90</v>
      </c>
      <c r="U39" s="33" t="str">
        <f t="shared" si="5"/>
        <v/>
      </c>
      <c r="BA39" s="4">
        <v>43</v>
      </c>
      <c r="BB39" s="4">
        <v>3</v>
      </c>
      <c r="BC39" s="4" t="s">
        <v>1066</v>
      </c>
      <c r="BD39" s="4" t="s">
        <v>997</v>
      </c>
      <c r="BE39" s="4" t="s">
        <v>240</v>
      </c>
      <c r="BK39" s="4">
        <v>90</v>
      </c>
      <c r="BL39" s="4" t="s">
        <v>1068</v>
      </c>
      <c r="BM39" s="4" t="s">
        <v>1067</v>
      </c>
    </row>
    <row r="40" spans="1:65" ht="14.5">
      <c r="A40" s="4" t="s">
        <v>502</v>
      </c>
      <c r="D40" s="17" t="str">
        <f t="shared" si="6"/>
        <v>EinzelfuttermittelKatzeFleisch-, Fisch- und Algenprodukte</v>
      </c>
      <c r="E40" s="4" t="s">
        <v>240</v>
      </c>
      <c r="F40" s="19" t="s">
        <v>90</v>
      </c>
      <c r="G40" s="4" t="s">
        <v>2854</v>
      </c>
      <c r="L40" s="4" t="s">
        <v>2864</v>
      </c>
      <c r="M40">
        <f t="shared" si="7"/>
        <v>14.1</v>
      </c>
      <c r="N40">
        <f t="shared" si="8"/>
        <v>52</v>
      </c>
      <c r="P40">
        <f t="shared" si="9"/>
        <v>2.2999999999999998</v>
      </c>
      <c r="Q40"/>
      <c r="R40">
        <f t="shared" si="10"/>
        <v>0</v>
      </c>
      <c r="U40" s="33" t="str">
        <f t="shared" si="5"/>
        <v/>
      </c>
      <c r="BA40" s="4">
        <v>102.4</v>
      </c>
      <c r="BB40" s="4">
        <v>2</v>
      </c>
      <c r="BC40" s="4" t="s">
        <v>92</v>
      </c>
      <c r="BD40" s="4" t="s">
        <v>214</v>
      </c>
      <c r="BE40" s="4" t="s">
        <v>240</v>
      </c>
      <c r="BF40" s="4">
        <v>14.1</v>
      </c>
      <c r="BG40" s="4">
        <v>52</v>
      </c>
      <c r="BI40" s="4">
        <v>2.2999999999999998</v>
      </c>
      <c r="BL40" s="4" t="s">
        <v>230</v>
      </c>
      <c r="BM40" s="4" t="s">
        <v>231</v>
      </c>
    </row>
    <row r="41" spans="1:65" ht="14.5">
      <c r="D41" s="17" t="str">
        <f t="shared" si="6"/>
        <v>EinzelfuttermittelKatzeFleisch-, Fisch- und Algenprodukte</v>
      </c>
      <c r="E41" s="4" t="s">
        <v>240</v>
      </c>
      <c r="F41" s="19" t="s">
        <v>90</v>
      </c>
      <c r="G41" s="4" t="s">
        <v>2854</v>
      </c>
      <c r="L41" s="4" t="s">
        <v>2864</v>
      </c>
      <c r="M41">
        <f t="shared" si="7"/>
        <v>6.9</v>
      </c>
      <c r="N41">
        <f t="shared" si="8"/>
        <v>66</v>
      </c>
      <c r="P41">
        <f t="shared" si="9"/>
        <v>8</v>
      </c>
      <c r="R41">
        <f t="shared" si="10"/>
        <v>0.5</v>
      </c>
      <c r="U41" s="33" t="str">
        <f t="shared" si="5"/>
        <v/>
      </c>
      <c r="BA41" s="4">
        <v>79.989999999999995</v>
      </c>
      <c r="BB41" s="4">
        <v>0.5</v>
      </c>
      <c r="BC41" s="4" t="s">
        <v>92</v>
      </c>
      <c r="BD41" s="4" t="s">
        <v>269</v>
      </c>
      <c r="BE41" s="4" t="s">
        <v>240</v>
      </c>
      <c r="BF41" s="4">
        <v>6.9</v>
      </c>
      <c r="BG41" s="4">
        <v>66</v>
      </c>
      <c r="BI41" s="4">
        <v>8</v>
      </c>
      <c r="BK41" s="4">
        <v>0.5</v>
      </c>
      <c r="BL41" s="4" t="s">
        <v>333</v>
      </c>
      <c r="BM41" s="4" t="s">
        <v>332</v>
      </c>
    </row>
    <row r="42" spans="1:65" ht="14.5">
      <c r="D42" s="17" t="str">
        <f t="shared" si="6"/>
        <v>EinzelfuttermittelKatzeGemüse, Obst und Faserstoffe</v>
      </c>
      <c r="E42" s="4" t="s">
        <v>240</v>
      </c>
      <c r="F42" s="19" t="s">
        <v>90</v>
      </c>
      <c r="G42" s="4" t="s">
        <v>2855</v>
      </c>
      <c r="I42" s="18"/>
      <c r="L42" s="27" t="s">
        <v>334</v>
      </c>
      <c r="M42">
        <f t="shared" si="7"/>
        <v>0</v>
      </c>
      <c r="N42">
        <f t="shared" si="8"/>
        <v>5.9</v>
      </c>
      <c r="P42">
        <f t="shared" si="9"/>
        <v>0</v>
      </c>
      <c r="R42">
        <f t="shared" si="10"/>
        <v>38.1</v>
      </c>
      <c r="U42" s="33" t="str">
        <f t="shared" si="5"/>
        <v/>
      </c>
      <c r="AW42" s="4">
        <v>220</v>
      </c>
      <c r="BA42" s="4">
        <v>39.979999999999997</v>
      </c>
      <c r="BB42" s="4">
        <v>1</v>
      </c>
      <c r="BC42" s="4" t="s">
        <v>334</v>
      </c>
      <c r="BD42" s="4" t="s">
        <v>269</v>
      </c>
      <c r="BE42" s="4" t="s">
        <v>240</v>
      </c>
      <c r="BG42" s="4">
        <v>5.9</v>
      </c>
      <c r="BK42" s="4">
        <v>38.1</v>
      </c>
      <c r="BL42" s="4" t="s">
        <v>336</v>
      </c>
      <c r="BM42" s="4" t="s">
        <v>335</v>
      </c>
    </row>
    <row r="43" spans="1:65" ht="14.5">
      <c r="D43" s="17" t="str">
        <f t="shared" si="6"/>
        <v>EinzelfuttermittelKatzeGemüse, Obst und Faserstoffe</v>
      </c>
      <c r="E43" s="4" t="s">
        <v>240</v>
      </c>
      <c r="F43" s="19" t="s">
        <v>90</v>
      </c>
      <c r="G43" s="32" t="s">
        <v>2855</v>
      </c>
      <c r="L43" s="4" t="s">
        <v>2867</v>
      </c>
      <c r="M43">
        <f t="shared" si="7"/>
        <v>0</v>
      </c>
      <c r="N43">
        <f t="shared" si="8"/>
        <v>42.1</v>
      </c>
      <c r="P43">
        <f t="shared" si="9"/>
        <v>0</v>
      </c>
      <c r="R43">
        <f t="shared" si="10"/>
        <v>0</v>
      </c>
      <c r="U43" s="33" t="str">
        <f t="shared" si="5"/>
        <v/>
      </c>
      <c r="BA43" s="4">
        <v>31.98</v>
      </c>
      <c r="BB43" s="4">
        <v>0.5</v>
      </c>
      <c r="BC43" s="4" t="s">
        <v>217</v>
      </c>
      <c r="BD43" s="4" t="s">
        <v>269</v>
      </c>
      <c r="BE43" s="4" t="s">
        <v>240</v>
      </c>
      <c r="BG43" s="4">
        <v>42.1</v>
      </c>
      <c r="BL43" s="4" t="s">
        <v>350</v>
      </c>
      <c r="BM43" s="4" t="s">
        <v>349</v>
      </c>
    </row>
    <row r="44" spans="1:65" ht="14.5">
      <c r="D44" s="17" t="str">
        <f t="shared" si="6"/>
        <v>EinzelfuttermittelKatzeEi- und Milchprodukte</v>
      </c>
      <c r="E44" s="4" t="s">
        <v>240</v>
      </c>
      <c r="F44" s="19" t="s">
        <v>90</v>
      </c>
      <c r="G44" s="4" t="s">
        <v>2856</v>
      </c>
      <c r="L44" s="4" t="s">
        <v>2858</v>
      </c>
      <c r="M44">
        <f t="shared" si="7"/>
        <v>96</v>
      </c>
      <c r="N44">
        <f t="shared" si="8"/>
        <v>0</v>
      </c>
      <c r="P44">
        <f t="shared" si="9"/>
        <v>0</v>
      </c>
      <c r="R44">
        <f t="shared" si="10"/>
        <v>0</v>
      </c>
      <c r="S44" s="4">
        <v>37000</v>
      </c>
      <c r="T44" s="4">
        <v>100</v>
      </c>
      <c r="U44" s="33">
        <f t="shared" si="5"/>
        <v>370</v>
      </c>
      <c r="BA44" s="4">
        <v>37.19</v>
      </c>
      <c r="BC44" s="4" t="s">
        <v>391</v>
      </c>
      <c r="BD44" s="4" t="s">
        <v>371</v>
      </c>
      <c r="BE44" s="4" t="s">
        <v>240</v>
      </c>
      <c r="BF44" s="4">
        <v>96</v>
      </c>
      <c r="BL44" s="4" t="s">
        <v>393</v>
      </c>
      <c r="BM44" s="4" t="s">
        <v>392</v>
      </c>
    </row>
    <row r="45" spans="1:65" ht="14.5">
      <c r="D45" s="17" t="str">
        <f t="shared" si="6"/>
        <v>EinzelfuttermittelKatzeGetreide, Samen, Leguminosen und Kartoffel-Produkte</v>
      </c>
      <c r="E45" s="4" t="s">
        <v>240</v>
      </c>
      <c r="F45" s="19" t="s">
        <v>90</v>
      </c>
      <c r="G45" s="4" t="s">
        <v>2857</v>
      </c>
      <c r="I45" s="18"/>
      <c r="L45" s="4" t="s">
        <v>2866</v>
      </c>
      <c r="M45">
        <f t="shared" si="7"/>
        <v>2.2000000000000002</v>
      </c>
      <c r="N45">
        <f t="shared" si="8"/>
        <v>15.3</v>
      </c>
      <c r="P45">
        <f t="shared" si="9"/>
        <v>6.8</v>
      </c>
      <c r="R45">
        <f t="shared" si="10"/>
        <v>19.600000000000001</v>
      </c>
      <c r="U45" s="33" t="str">
        <f t="shared" si="5"/>
        <v/>
      </c>
      <c r="BA45" s="4">
        <v>19.989999999999998</v>
      </c>
      <c r="BC45" s="4" t="s">
        <v>321</v>
      </c>
      <c r="BD45" s="4" t="s">
        <v>269</v>
      </c>
      <c r="BE45" s="4" t="s">
        <v>240</v>
      </c>
      <c r="BF45" s="4">
        <v>2.2000000000000002</v>
      </c>
      <c r="BG45" s="4">
        <v>15.3</v>
      </c>
      <c r="BI45" s="4">
        <v>6.8</v>
      </c>
      <c r="BK45" s="4">
        <v>19.600000000000001</v>
      </c>
      <c r="BL45" s="4" t="s">
        <v>321</v>
      </c>
      <c r="BM45" s="4" t="s">
        <v>322</v>
      </c>
    </row>
    <row r="46" spans="1:65" ht="14.5">
      <c r="D46" s="17" t="str">
        <f t="shared" si="6"/>
        <v>EinzelfuttermittelKatzeGetreide, Samen, Leguminosen und Kartoffel-Produkte</v>
      </c>
      <c r="E46" s="4" t="s">
        <v>240</v>
      </c>
      <c r="F46" s="19" t="s">
        <v>90</v>
      </c>
      <c r="G46" s="4" t="s">
        <v>2857</v>
      </c>
      <c r="L46" s="4" t="s">
        <v>2866</v>
      </c>
      <c r="M46">
        <f t="shared" si="7"/>
        <v>2.1</v>
      </c>
      <c r="N46">
        <f t="shared" si="8"/>
        <v>2.2000000000000002</v>
      </c>
      <c r="P46">
        <f t="shared" si="9"/>
        <v>1</v>
      </c>
      <c r="R46">
        <f t="shared" si="10"/>
        <v>3.3</v>
      </c>
      <c r="U46" s="33" t="str">
        <f t="shared" si="5"/>
        <v/>
      </c>
      <c r="BA46" s="4">
        <v>25.99</v>
      </c>
      <c r="BC46" s="4" t="s">
        <v>323</v>
      </c>
      <c r="BD46" s="4" t="s">
        <v>269</v>
      </c>
      <c r="BE46" s="4" t="s">
        <v>240</v>
      </c>
      <c r="BF46" s="4">
        <v>2.1</v>
      </c>
      <c r="BG46" s="4">
        <v>2.2000000000000002</v>
      </c>
      <c r="BI46" s="4">
        <v>1</v>
      </c>
      <c r="BK46" s="4">
        <v>3.3</v>
      </c>
      <c r="BL46" s="4" t="s">
        <v>323</v>
      </c>
      <c r="BM46" s="4" t="s">
        <v>324</v>
      </c>
    </row>
    <row r="47" spans="1:65" ht="14.5">
      <c r="D47" s="17" t="str">
        <f t="shared" si="6"/>
        <v>EinzelfuttermittelKatzeMineralstoffe</v>
      </c>
      <c r="E47" s="4" t="s">
        <v>240</v>
      </c>
      <c r="F47" s="19" t="s">
        <v>90</v>
      </c>
      <c r="G47" s="32" t="s">
        <v>437</v>
      </c>
      <c r="L47" s="4" t="s">
        <v>3215</v>
      </c>
      <c r="M47">
        <f t="shared" si="7"/>
        <v>0.6</v>
      </c>
      <c r="N47">
        <f t="shared" si="8"/>
        <v>1.5</v>
      </c>
      <c r="P47">
        <f t="shared" si="9"/>
        <v>0.1</v>
      </c>
      <c r="R47">
        <f t="shared" si="10"/>
        <v>1</v>
      </c>
      <c r="U47" s="33" t="str">
        <f t="shared" si="5"/>
        <v/>
      </c>
      <c r="BA47" s="4">
        <v>18.329999999999998</v>
      </c>
      <c r="BC47" s="4" t="s">
        <v>312</v>
      </c>
      <c r="BD47" s="4" t="s">
        <v>269</v>
      </c>
      <c r="BE47" s="4" t="s">
        <v>240</v>
      </c>
      <c r="BF47" s="4">
        <v>0.6</v>
      </c>
      <c r="BG47" s="4">
        <v>1.5</v>
      </c>
      <c r="BI47" s="4">
        <v>0.1</v>
      </c>
      <c r="BK47" s="4">
        <v>1</v>
      </c>
      <c r="BL47" s="4" t="s">
        <v>314</v>
      </c>
      <c r="BM47" s="4" t="s">
        <v>313</v>
      </c>
    </row>
    <row r="48" spans="1:65" ht="14.5">
      <c r="D48" s="17" t="str">
        <f t="shared" si="6"/>
        <v>EinzelfuttermittelKatzeGemüse, Obst und Faserstoffe</v>
      </c>
      <c r="E48" s="4" t="s">
        <v>240</v>
      </c>
      <c r="F48" s="19" t="s">
        <v>90</v>
      </c>
      <c r="G48" s="4" t="s">
        <v>2855</v>
      </c>
      <c r="I48" s="18"/>
      <c r="L48" s="32" t="s">
        <v>2868</v>
      </c>
      <c r="M48">
        <f t="shared" si="7"/>
        <v>0</v>
      </c>
      <c r="N48">
        <f t="shared" si="8"/>
        <v>0</v>
      </c>
      <c r="P48">
        <f t="shared" si="9"/>
        <v>0</v>
      </c>
      <c r="R48">
        <f t="shared" si="10"/>
        <v>32.700000000000003</v>
      </c>
      <c r="U48" s="33" t="str">
        <f t="shared" si="5"/>
        <v/>
      </c>
      <c r="BA48" s="4">
        <v>131.96</v>
      </c>
      <c r="BC48" s="4" t="s">
        <v>315</v>
      </c>
      <c r="BD48" s="4" t="s">
        <v>269</v>
      </c>
      <c r="BE48" s="4" t="s">
        <v>240</v>
      </c>
      <c r="BK48" s="4">
        <v>32.700000000000003</v>
      </c>
      <c r="BL48" s="4" t="s">
        <v>316</v>
      </c>
      <c r="BM48" s="4" t="s">
        <v>317</v>
      </c>
    </row>
    <row r="49" spans="4:65" ht="14.5">
      <c r="D49" s="17" t="str">
        <f t="shared" si="6"/>
        <v>EinzelfuttermittelKatzeFleisch-, Fisch- und Algenprodukte</v>
      </c>
      <c r="E49" s="4" t="s">
        <v>240</v>
      </c>
      <c r="F49" s="19" t="s">
        <v>90</v>
      </c>
      <c r="G49" s="4" t="s">
        <v>2854</v>
      </c>
      <c r="L49" s="4" t="s">
        <v>2859</v>
      </c>
      <c r="M49">
        <f t="shared" si="7"/>
        <v>6.7</v>
      </c>
      <c r="N49">
        <f t="shared" si="8"/>
        <v>62.2</v>
      </c>
      <c r="P49">
        <f t="shared" si="9"/>
        <v>5.7</v>
      </c>
      <c r="R49">
        <f t="shared" si="10"/>
        <v>2.2999999999999998</v>
      </c>
      <c r="U49" s="33" t="str">
        <f t="shared" si="5"/>
        <v/>
      </c>
      <c r="BA49" s="4">
        <v>87.96</v>
      </c>
      <c r="BB49" s="4">
        <v>0.75</v>
      </c>
      <c r="BC49" s="4" t="s">
        <v>309</v>
      </c>
      <c r="BD49" s="4" t="s">
        <v>269</v>
      </c>
      <c r="BE49" s="4" t="s">
        <v>240</v>
      </c>
      <c r="BF49" s="4">
        <v>6.7</v>
      </c>
      <c r="BG49" s="4">
        <v>62.2</v>
      </c>
      <c r="BI49" s="4">
        <v>5.7</v>
      </c>
      <c r="BK49" s="4">
        <v>2.2999999999999998</v>
      </c>
      <c r="BL49" s="4" t="s">
        <v>310</v>
      </c>
      <c r="BM49" s="4" t="s">
        <v>311</v>
      </c>
    </row>
    <row r="50" spans="4:65" ht="14.5">
      <c r="D50" s="17" t="str">
        <f t="shared" si="6"/>
        <v>EinzelfuttermittelKatzeGemüse, Obst und Faserstoffe</v>
      </c>
      <c r="E50" s="4" t="s">
        <v>240</v>
      </c>
      <c r="F50" s="19" t="s">
        <v>90</v>
      </c>
      <c r="G50" s="4" t="s">
        <v>2855</v>
      </c>
      <c r="L50" s="4" t="s">
        <v>2869</v>
      </c>
      <c r="M50">
        <f t="shared" si="7"/>
        <v>0</v>
      </c>
      <c r="N50">
        <f t="shared" si="8"/>
        <v>15.8</v>
      </c>
      <c r="P50">
        <f t="shared" si="9"/>
        <v>0</v>
      </c>
      <c r="R50">
        <f t="shared" si="10"/>
        <v>1.5</v>
      </c>
      <c r="U50" s="33" t="str">
        <f t="shared" si="5"/>
        <v/>
      </c>
      <c r="BA50" s="4">
        <v>37</v>
      </c>
      <c r="BC50" s="4" t="s">
        <v>266</v>
      </c>
      <c r="BD50" s="4" t="s">
        <v>214</v>
      </c>
      <c r="BE50" s="4" t="s">
        <v>240</v>
      </c>
      <c r="BG50" s="4">
        <v>15.8</v>
      </c>
      <c r="BK50" s="4">
        <v>1.5</v>
      </c>
      <c r="BL50" s="4" t="s">
        <v>267</v>
      </c>
      <c r="BM50" s="4" t="s">
        <v>268</v>
      </c>
    </row>
    <row r="51" spans="4:65" ht="14.5">
      <c r="D51" s="17" t="str">
        <f t="shared" si="6"/>
        <v>EinzelfuttermittelKatzeGemüse, Obst und Faserstoffe</v>
      </c>
      <c r="E51" s="4" t="s">
        <v>240</v>
      </c>
      <c r="F51" s="19" t="s">
        <v>90</v>
      </c>
      <c r="G51" s="32" t="s">
        <v>2855</v>
      </c>
      <c r="I51" s="18"/>
      <c r="L51" s="4" t="s">
        <v>2867</v>
      </c>
      <c r="M51">
        <f t="shared" si="7"/>
        <v>6.2</v>
      </c>
      <c r="N51">
        <f t="shared" si="8"/>
        <v>46</v>
      </c>
      <c r="P51">
        <f t="shared" si="9"/>
        <v>2.7</v>
      </c>
      <c r="Q51"/>
      <c r="R51">
        <f t="shared" si="10"/>
        <v>1</v>
      </c>
      <c r="U51" s="33" t="str">
        <f t="shared" si="5"/>
        <v/>
      </c>
      <c r="BA51" s="4">
        <v>37.33</v>
      </c>
      <c r="BB51" s="4">
        <v>4</v>
      </c>
      <c r="BC51" s="4" t="s">
        <v>217</v>
      </c>
      <c r="BD51" s="4" t="s">
        <v>214</v>
      </c>
      <c r="BE51" s="4" t="s">
        <v>240</v>
      </c>
      <c r="BF51" s="4">
        <v>6.2</v>
      </c>
      <c r="BG51" s="4">
        <v>46</v>
      </c>
      <c r="BI51" s="4">
        <v>2.7</v>
      </c>
      <c r="BK51" s="4">
        <v>1</v>
      </c>
      <c r="BL51" s="4" t="s">
        <v>218</v>
      </c>
      <c r="BM51" s="4" t="s">
        <v>219</v>
      </c>
    </row>
    <row r="52" spans="4:65" ht="14.5">
      <c r="D52" s="17" t="str">
        <f t="shared" si="6"/>
        <v>EinzelfuttermittelKatzeFleisch-, Fisch- und Algenprodukte</v>
      </c>
      <c r="E52" s="4" t="s">
        <v>240</v>
      </c>
      <c r="F52" s="19" t="s">
        <v>90</v>
      </c>
      <c r="G52" s="4" t="s">
        <v>2854</v>
      </c>
      <c r="L52" s="4" t="s">
        <v>220</v>
      </c>
      <c r="M52">
        <f t="shared" si="7"/>
        <v>24.8</v>
      </c>
      <c r="N52">
        <f t="shared" si="8"/>
        <v>6.8</v>
      </c>
      <c r="P52">
        <f t="shared" si="9"/>
        <v>3.2</v>
      </c>
      <c r="Q52"/>
      <c r="R52">
        <f t="shared" si="10"/>
        <v>8.1999999999999993</v>
      </c>
      <c r="U52" s="33" t="str">
        <f t="shared" si="5"/>
        <v/>
      </c>
      <c r="BA52" s="4">
        <v>11.89</v>
      </c>
      <c r="BC52" s="4" t="s">
        <v>220</v>
      </c>
      <c r="BD52" s="4" t="s">
        <v>214</v>
      </c>
      <c r="BE52" s="4" t="s">
        <v>240</v>
      </c>
      <c r="BF52" s="4">
        <v>24.8</v>
      </c>
      <c r="BG52" s="4">
        <v>6.8</v>
      </c>
      <c r="BI52" s="4">
        <v>3.2</v>
      </c>
      <c r="BK52" s="4">
        <v>8.1999999999999993</v>
      </c>
      <c r="BL52" s="4" t="s">
        <v>221</v>
      </c>
      <c r="BM52" s="4" t="s">
        <v>222</v>
      </c>
    </row>
    <row r="53" spans="4:65" ht="14.5">
      <c r="D53" s="17" t="str">
        <f t="shared" si="6"/>
        <v>EinzelfuttermittelKatzeInnereien, TNPs, Schlachtabfälle und Tiermehle</v>
      </c>
      <c r="E53" s="4" t="s">
        <v>240</v>
      </c>
      <c r="F53" s="19" t="s">
        <v>90</v>
      </c>
      <c r="G53" s="4" t="s">
        <v>2852</v>
      </c>
      <c r="L53" s="4" t="s">
        <v>2853</v>
      </c>
      <c r="M53">
        <f t="shared" si="7"/>
        <v>4</v>
      </c>
      <c r="N53">
        <f t="shared" si="8"/>
        <v>92</v>
      </c>
      <c r="P53">
        <f t="shared" si="9"/>
        <v>0.5</v>
      </c>
      <c r="R53">
        <f t="shared" si="10"/>
        <v>0.4</v>
      </c>
      <c r="S53" s="4">
        <v>20</v>
      </c>
      <c r="T53" s="4">
        <v>300</v>
      </c>
      <c r="U53" s="33">
        <f t="shared" si="5"/>
        <v>6.6666666666666666E-2</v>
      </c>
      <c r="V53" s="4">
        <v>30</v>
      </c>
      <c r="W53" s="4">
        <v>1000</v>
      </c>
      <c r="X53" s="4">
        <v>700</v>
      </c>
      <c r="Z53" s="4">
        <v>280</v>
      </c>
      <c r="AA53" s="4">
        <v>80</v>
      </c>
      <c r="AB53" s="4">
        <v>250</v>
      </c>
      <c r="BA53" s="4">
        <v>27.96</v>
      </c>
      <c r="BB53" s="4">
        <v>1.5</v>
      </c>
      <c r="BC53" s="4" t="s">
        <v>300</v>
      </c>
      <c r="BD53" s="4" t="s">
        <v>269</v>
      </c>
      <c r="BE53" s="4" t="s">
        <v>240</v>
      </c>
      <c r="BF53" s="4">
        <v>4</v>
      </c>
      <c r="BG53" s="4">
        <v>92</v>
      </c>
      <c r="BI53" s="4">
        <v>0.5</v>
      </c>
      <c r="BK53" s="4">
        <v>0.4</v>
      </c>
      <c r="BL53" s="4" t="s">
        <v>302</v>
      </c>
      <c r="BM53" s="4" t="s">
        <v>301</v>
      </c>
    </row>
    <row r="54" spans="4:65" ht="14.5">
      <c r="D54" s="17" t="str">
        <f t="shared" si="6"/>
        <v>EinzelfuttermittelKatzeMineralstoffe</v>
      </c>
      <c r="E54" s="4" t="s">
        <v>240</v>
      </c>
      <c r="F54" s="19" t="s">
        <v>90</v>
      </c>
      <c r="G54" s="4" t="s">
        <v>437</v>
      </c>
      <c r="I54" s="18"/>
      <c r="L54" s="4" t="s">
        <v>2870</v>
      </c>
      <c r="M54">
        <f t="shared" si="7"/>
        <v>0</v>
      </c>
      <c r="N54">
        <f t="shared" si="8"/>
        <v>0</v>
      </c>
      <c r="P54">
        <f t="shared" si="9"/>
        <v>0</v>
      </c>
      <c r="R54">
        <f t="shared" si="10"/>
        <v>0</v>
      </c>
      <c r="U54" s="33" t="str">
        <f t="shared" si="5"/>
        <v/>
      </c>
      <c r="BA54" s="4">
        <v>39.97</v>
      </c>
      <c r="BB54" s="4">
        <v>0.5</v>
      </c>
      <c r="BC54" s="4" t="s">
        <v>343</v>
      </c>
      <c r="BD54" s="4" t="s">
        <v>269</v>
      </c>
      <c r="BE54" s="4" t="s">
        <v>240</v>
      </c>
      <c r="BL54" s="4" t="s">
        <v>345</v>
      </c>
      <c r="BM54" s="4" t="s">
        <v>344</v>
      </c>
    </row>
    <row r="55" spans="4:65">
      <c r="D55" s="17" t="str">
        <f t="shared" si="6"/>
        <v>EinzelfuttermittelKatzeInnereien, TNPs, Schlachtabfälle und Tiermehle</v>
      </c>
      <c r="E55" s="4" t="s">
        <v>240</v>
      </c>
      <c r="F55" s="19" t="s">
        <v>90</v>
      </c>
      <c r="G55" s="32" t="s">
        <v>2852</v>
      </c>
      <c r="L55" s="21" t="s">
        <v>2894</v>
      </c>
      <c r="M55" s="4">
        <f t="shared" si="7"/>
        <v>2.5</v>
      </c>
      <c r="N55" s="4">
        <f t="shared" si="8"/>
        <v>83.3</v>
      </c>
      <c r="P55" s="4">
        <f t="shared" si="9"/>
        <v>1.6</v>
      </c>
      <c r="R55" s="4">
        <f t="shared" si="10"/>
        <v>6.6</v>
      </c>
      <c r="U55" s="33" t="str">
        <f t="shared" si="5"/>
        <v/>
      </c>
      <c r="AZ55" s="4">
        <v>70000</v>
      </c>
      <c r="BA55" s="4">
        <v>109.9</v>
      </c>
      <c r="BB55" s="4">
        <v>2.5</v>
      </c>
      <c r="BC55" s="4" t="s">
        <v>794</v>
      </c>
      <c r="BD55" s="4" t="s">
        <v>703</v>
      </c>
      <c r="BE55" s="4" t="s">
        <v>240</v>
      </c>
      <c r="BF55" s="4">
        <v>2.5</v>
      </c>
      <c r="BG55" s="4">
        <v>83.3</v>
      </c>
      <c r="BI55" s="4">
        <v>1.6</v>
      </c>
      <c r="BK55" s="4">
        <v>6.6</v>
      </c>
      <c r="BL55" s="4" t="s">
        <v>796</v>
      </c>
      <c r="BM55" s="4" t="s">
        <v>795</v>
      </c>
    </row>
    <row r="56" spans="4:65" ht="14.5">
      <c r="D56" s="17" t="str">
        <f t="shared" si="6"/>
        <v>EinzelfuttermittelKatzeGemüse, Obst und Faserstoffe</v>
      </c>
      <c r="E56" s="4" t="s">
        <v>240</v>
      </c>
      <c r="F56" s="19" t="s">
        <v>90</v>
      </c>
      <c r="G56" s="4" t="s">
        <v>2855</v>
      </c>
      <c r="L56" s="4" t="s">
        <v>2871</v>
      </c>
      <c r="M56">
        <f t="shared" si="7"/>
        <v>3.8</v>
      </c>
      <c r="N56">
        <f t="shared" si="8"/>
        <v>4.5999999999999996</v>
      </c>
      <c r="P56">
        <f t="shared" si="9"/>
        <v>0.1</v>
      </c>
      <c r="R56">
        <f t="shared" si="10"/>
        <v>0.2</v>
      </c>
      <c r="S56" s="4">
        <v>123</v>
      </c>
      <c r="T56" s="4">
        <v>546</v>
      </c>
      <c r="U56" s="33">
        <f t="shared" si="5"/>
        <v>0.22527472527472528</v>
      </c>
      <c r="V56" s="4">
        <v>50</v>
      </c>
      <c r="W56" s="4">
        <v>2013</v>
      </c>
      <c r="X56" s="4">
        <v>13</v>
      </c>
      <c r="Z56" s="4">
        <v>12</v>
      </c>
      <c r="AF56" s="4">
        <f>AG56*EFM!$BO$13</f>
        <v>60</v>
      </c>
      <c r="AG56" s="4">
        <v>200</v>
      </c>
      <c r="AL56" s="4">
        <f>AK56*EFM!$BO$14</f>
        <v>0</v>
      </c>
      <c r="AO56" s="4">
        <v>0.95</v>
      </c>
      <c r="AP56" s="4">
        <v>0.3</v>
      </c>
      <c r="AT56" s="4">
        <v>6.2</v>
      </c>
      <c r="AW56" s="4">
        <v>20</v>
      </c>
      <c r="BA56" s="4">
        <v>733</v>
      </c>
      <c r="BB56" s="4">
        <v>1</v>
      </c>
      <c r="BC56" s="4" t="s">
        <v>318</v>
      </c>
      <c r="BD56" s="4" t="s">
        <v>269</v>
      </c>
      <c r="BE56" s="4" t="s">
        <v>240</v>
      </c>
      <c r="BF56" s="4">
        <v>3.8</v>
      </c>
      <c r="BG56" s="4">
        <v>4.5999999999999996</v>
      </c>
      <c r="BI56" s="4">
        <v>0.1</v>
      </c>
      <c r="BJ56" s="4">
        <f>100-(BF56+BG56+BI56)</f>
        <v>91.5</v>
      </c>
      <c r="BK56" s="4">
        <v>0.2</v>
      </c>
      <c r="BL56" s="4" t="s">
        <v>319</v>
      </c>
      <c r="BM56" s="4" t="s">
        <v>320</v>
      </c>
    </row>
    <row r="57" spans="4:65">
      <c r="D57" s="17" t="str">
        <f t="shared" si="6"/>
        <v>EinzelfuttermittelKatzeFleisch-, Fisch- und Algenprodukte</v>
      </c>
      <c r="E57" s="4" t="s">
        <v>240</v>
      </c>
      <c r="F57" s="19" t="s">
        <v>90</v>
      </c>
      <c r="G57" s="4" t="s">
        <v>2854</v>
      </c>
      <c r="L57" s="4" t="s">
        <v>2860</v>
      </c>
      <c r="M57" s="4">
        <f t="shared" si="7"/>
        <v>84.8</v>
      </c>
      <c r="N57" s="4">
        <f t="shared" si="8"/>
        <v>0.7</v>
      </c>
      <c r="P57" s="4">
        <f t="shared" si="9"/>
        <v>0.01</v>
      </c>
      <c r="R57" s="4">
        <f t="shared" si="10"/>
        <v>1.5</v>
      </c>
      <c r="U57" s="33" t="str">
        <f t="shared" si="5"/>
        <v/>
      </c>
      <c r="BA57" s="4">
        <v>23.8</v>
      </c>
      <c r="BC57" s="4" t="s">
        <v>1087</v>
      </c>
      <c r="BD57" s="4" t="s">
        <v>1077</v>
      </c>
      <c r="BE57" s="4" t="s">
        <v>240</v>
      </c>
      <c r="BF57" s="4">
        <v>84.8</v>
      </c>
      <c r="BG57" s="4">
        <v>0.7</v>
      </c>
      <c r="BI57" s="4">
        <v>0.01</v>
      </c>
      <c r="BK57" s="4">
        <v>1.5</v>
      </c>
      <c r="BL57" s="4" t="s">
        <v>1089</v>
      </c>
      <c r="BM57" s="4" t="s">
        <v>1088</v>
      </c>
    </row>
    <row r="58" spans="4:65">
      <c r="D58" s="17" t="str">
        <f t="shared" si="6"/>
        <v>EinzelfuttermittelKatzeGemüse, Obst und Faserstoffe</v>
      </c>
      <c r="E58" s="4" t="s">
        <v>240</v>
      </c>
      <c r="F58" s="19" t="s">
        <v>90</v>
      </c>
      <c r="G58" s="32" t="s">
        <v>2855</v>
      </c>
      <c r="L58" s="4" t="s">
        <v>2861</v>
      </c>
      <c r="M58" s="4">
        <f t="shared" si="7"/>
        <v>5.2</v>
      </c>
      <c r="N58" s="4">
        <f t="shared" si="8"/>
        <v>38.5</v>
      </c>
      <c r="P58" s="4">
        <f t="shared" si="9"/>
        <v>6.2</v>
      </c>
      <c r="R58" s="4">
        <f t="shared" si="10"/>
        <v>0.5</v>
      </c>
      <c r="U58" s="33" t="str">
        <f t="shared" si="5"/>
        <v/>
      </c>
      <c r="BA58" s="4">
        <v>53</v>
      </c>
      <c r="BC58" s="4" t="s">
        <v>1090</v>
      </c>
      <c r="BD58" s="4" t="s">
        <v>1077</v>
      </c>
      <c r="BE58" s="4" t="s">
        <v>240</v>
      </c>
      <c r="BF58" s="4">
        <v>5.2</v>
      </c>
      <c r="BG58" s="4">
        <v>38.5</v>
      </c>
      <c r="BI58" s="4">
        <v>6.2</v>
      </c>
      <c r="BK58" s="4">
        <v>0.5</v>
      </c>
      <c r="BL58" s="4" t="s">
        <v>1091</v>
      </c>
      <c r="BM58" s="4" t="s">
        <v>1092</v>
      </c>
    </row>
    <row r="59" spans="4:65">
      <c r="D59" s="17" t="str">
        <f t="shared" si="6"/>
        <v>EinzelfuttermittelKatzeFleisch-, Fisch- und Algenprodukte</v>
      </c>
      <c r="E59" s="4" t="s">
        <v>240</v>
      </c>
      <c r="F59" s="19" t="s">
        <v>90</v>
      </c>
      <c r="G59" s="4" t="s">
        <v>2854</v>
      </c>
      <c r="L59" s="4" t="s">
        <v>2864</v>
      </c>
      <c r="M59" s="4">
        <f t="shared" si="7"/>
        <v>6.3</v>
      </c>
      <c r="N59" s="4">
        <f t="shared" si="8"/>
        <v>65</v>
      </c>
      <c r="P59" s="4">
        <f t="shared" si="9"/>
        <v>9</v>
      </c>
      <c r="R59" s="4">
        <f t="shared" si="10"/>
        <v>0</v>
      </c>
      <c r="U59" s="33" t="str">
        <f t="shared" si="5"/>
        <v/>
      </c>
      <c r="BA59" s="4">
        <v>119.3</v>
      </c>
      <c r="BB59" s="4">
        <v>2</v>
      </c>
      <c r="BC59" s="4" t="s">
        <v>92</v>
      </c>
      <c r="BD59" s="4" t="s">
        <v>1077</v>
      </c>
      <c r="BE59" s="4" t="s">
        <v>240</v>
      </c>
      <c r="BF59" s="4">
        <v>6.3</v>
      </c>
      <c r="BG59" s="4">
        <v>65</v>
      </c>
      <c r="BI59" s="4">
        <v>9</v>
      </c>
      <c r="BK59" s="4">
        <v>0</v>
      </c>
      <c r="BL59" s="4" t="s">
        <v>1099</v>
      </c>
      <c r="BM59" s="4" t="s">
        <v>1098</v>
      </c>
    </row>
    <row r="60" spans="4:65">
      <c r="D60" s="17" t="str">
        <f t="shared" si="6"/>
        <v>EinzelfuttermittelKatzeInnereien, TNPs, Schlachtabfälle und Tiermehle</v>
      </c>
      <c r="E60" s="4" t="s">
        <v>240</v>
      </c>
      <c r="F60" s="19" t="s">
        <v>90</v>
      </c>
      <c r="G60" s="4" t="s">
        <v>2852</v>
      </c>
      <c r="L60" s="4" t="s">
        <v>2901</v>
      </c>
      <c r="M60" s="4">
        <f t="shared" si="7"/>
        <v>54.4</v>
      </c>
      <c r="N60" s="4">
        <f t="shared" si="8"/>
        <v>37</v>
      </c>
      <c r="P60" s="4">
        <f t="shared" si="9"/>
        <v>0.2</v>
      </c>
      <c r="R60" s="4">
        <f t="shared" si="10"/>
        <v>0.1</v>
      </c>
      <c r="S60" s="4">
        <v>21150</v>
      </c>
      <c r="T60" s="4">
        <v>9890</v>
      </c>
      <c r="U60" s="33">
        <f t="shared" si="5"/>
        <v>2.1385237613751262</v>
      </c>
      <c r="V60" s="4">
        <v>390</v>
      </c>
      <c r="W60" s="4">
        <v>70</v>
      </c>
      <c r="X60" s="4">
        <v>530</v>
      </c>
      <c r="Y60" s="4">
        <v>9.4E-2</v>
      </c>
      <c r="Z60" s="4">
        <v>5.7370000000000001</v>
      </c>
      <c r="AA60" s="4">
        <v>4.5999999999999999E-2</v>
      </c>
      <c r="AB60" s="4">
        <v>0.66300000000000003</v>
      </c>
      <c r="AC60" s="4">
        <v>0.123</v>
      </c>
      <c r="BA60" s="4">
        <v>69.7</v>
      </c>
      <c r="BB60" s="4">
        <v>2</v>
      </c>
      <c r="BC60" s="4" t="s">
        <v>1110</v>
      </c>
      <c r="BD60" s="4" t="s">
        <v>1077</v>
      </c>
      <c r="BE60" s="4" t="s">
        <v>240</v>
      </c>
      <c r="BF60" s="4">
        <v>54.4</v>
      </c>
      <c r="BG60" s="4">
        <v>37</v>
      </c>
      <c r="BI60" s="4">
        <v>0.2</v>
      </c>
      <c r="BK60" s="4">
        <v>0.1</v>
      </c>
      <c r="BL60" s="4" t="s">
        <v>1112</v>
      </c>
      <c r="BM60" s="4" t="s">
        <v>1111</v>
      </c>
    </row>
    <row r="61" spans="4:65">
      <c r="D61" s="17" t="str">
        <f t="shared" si="6"/>
        <v>EinzelfuttermittelKatzeFleisch-, Fisch- und Algenprodukte</v>
      </c>
      <c r="E61" s="4" t="s">
        <v>240</v>
      </c>
      <c r="F61" s="19" t="s">
        <v>90</v>
      </c>
      <c r="G61" s="4" t="s">
        <v>2854</v>
      </c>
      <c r="L61" s="27" t="s">
        <v>1116</v>
      </c>
      <c r="M61" s="4">
        <f t="shared" si="7"/>
        <v>97</v>
      </c>
      <c r="N61" s="4">
        <f t="shared" si="8"/>
        <v>0.2</v>
      </c>
      <c r="P61" s="4">
        <f t="shared" si="9"/>
        <v>0</v>
      </c>
      <c r="R61" s="4">
        <f t="shared" si="10"/>
        <v>1</v>
      </c>
      <c r="U61" s="33" t="str">
        <f t="shared" si="5"/>
        <v/>
      </c>
      <c r="BA61" s="4">
        <v>27.8</v>
      </c>
      <c r="BB61" s="4">
        <v>3</v>
      </c>
      <c r="BC61" s="4" t="s">
        <v>1114</v>
      </c>
      <c r="BD61" s="4" t="s">
        <v>1077</v>
      </c>
      <c r="BE61" s="4" t="s">
        <v>240</v>
      </c>
      <c r="BF61" s="4">
        <v>97</v>
      </c>
      <c r="BG61" s="4">
        <v>0.2</v>
      </c>
      <c r="BI61" s="4">
        <v>0</v>
      </c>
      <c r="BK61" s="4">
        <v>1</v>
      </c>
      <c r="BL61" s="4" t="s">
        <v>1115</v>
      </c>
      <c r="BM61" s="4" t="s">
        <v>1113</v>
      </c>
    </row>
    <row r="62" spans="4:65">
      <c r="D62" s="17" t="str">
        <f t="shared" si="6"/>
        <v>EinzelfuttermittelKatzeFleisch-, Fisch- und Algenprodukte</v>
      </c>
      <c r="E62" s="4" t="s">
        <v>240</v>
      </c>
      <c r="F62" s="19" t="s">
        <v>90</v>
      </c>
      <c r="G62" s="4" t="s">
        <v>2854</v>
      </c>
      <c r="L62" s="4" t="s">
        <v>2872</v>
      </c>
      <c r="M62" s="4">
        <f t="shared" si="7"/>
        <v>11.5</v>
      </c>
      <c r="N62" s="4">
        <f t="shared" si="8"/>
        <v>48.4</v>
      </c>
      <c r="P62" s="4">
        <f t="shared" si="9"/>
        <v>14.8</v>
      </c>
      <c r="R62" s="4">
        <f t="shared" si="10"/>
        <v>0.3</v>
      </c>
      <c r="U62" s="33" t="str">
        <f t="shared" si="5"/>
        <v/>
      </c>
      <c r="BA62" s="4">
        <v>232.7</v>
      </c>
      <c r="BB62" s="4">
        <v>1</v>
      </c>
      <c r="BC62" s="4" t="s">
        <v>1117</v>
      </c>
      <c r="BD62" s="4" t="s">
        <v>1077</v>
      </c>
      <c r="BE62" s="4" t="s">
        <v>240</v>
      </c>
      <c r="BF62" s="4">
        <v>11.5</v>
      </c>
      <c r="BG62" s="4">
        <v>48.4</v>
      </c>
      <c r="BI62" s="4">
        <v>14.8</v>
      </c>
      <c r="BK62" s="4">
        <v>0.3</v>
      </c>
      <c r="BL62" s="4" t="s">
        <v>1119</v>
      </c>
      <c r="BM62" s="4" t="s">
        <v>1118</v>
      </c>
    </row>
    <row r="63" spans="4:65">
      <c r="D63" s="17" t="str">
        <f t="shared" si="6"/>
        <v>EinzelfuttermittelKatzeMineralstoffe</v>
      </c>
      <c r="E63" s="4" t="s">
        <v>240</v>
      </c>
      <c r="F63" s="19" t="s">
        <v>90</v>
      </c>
      <c r="G63" s="32" t="s">
        <v>437</v>
      </c>
      <c r="L63" s="4" t="s">
        <v>3215</v>
      </c>
      <c r="M63" s="4">
        <f t="shared" si="7"/>
        <v>1</v>
      </c>
      <c r="N63" s="4">
        <f t="shared" si="8"/>
        <v>0.6</v>
      </c>
      <c r="P63" s="4">
        <f t="shared" si="9"/>
        <v>0.1</v>
      </c>
      <c r="R63" s="4">
        <f t="shared" si="10"/>
        <v>1.4</v>
      </c>
      <c r="U63" s="33" t="str">
        <f t="shared" si="5"/>
        <v/>
      </c>
      <c r="X63" s="4">
        <v>120</v>
      </c>
      <c r="BA63" s="4">
        <v>43</v>
      </c>
      <c r="BC63" s="4" t="s">
        <v>1122</v>
      </c>
      <c r="BD63" s="4" t="s">
        <v>1123</v>
      </c>
      <c r="BE63" s="4" t="s">
        <v>240</v>
      </c>
      <c r="BF63" s="4">
        <v>1</v>
      </c>
      <c r="BG63" s="4">
        <v>0.6</v>
      </c>
      <c r="BI63" s="4">
        <v>0.1</v>
      </c>
      <c r="BK63" s="4">
        <v>1.4</v>
      </c>
      <c r="BL63" s="4" t="s">
        <v>1120</v>
      </c>
      <c r="BM63" s="4" t="s">
        <v>1121</v>
      </c>
    </row>
    <row r="64" spans="4:65">
      <c r="D64" s="17" t="str">
        <f t="shared" si="6"/>
        <v>EinzelfuttermittelKatzeGemüse, Obst und Faserstoffe</v>
      </c>
      <c r="E64" s="4" t="s">
        <v>240</v>
      </c>
      <c r="F64" s="19" t="s">
        <v>90</v>
      </c>
      <c r="G64" s="4" t="s">
        <v>2855</v>
      </c>
      <c r="L64" s="4" t="s">
        <v>2868</v>
      </c>
      <c r="M64" s="4">
        <f t="shared" si="7"/>
        <v>0.8</v>
      </c>
      <c r="N64" s="4">
        <f t="shared" si="8"/>
        <v>0.8</v>
      </c>
      <c r="P64" s="4">
        <f t="shared" si="9"/>
        <v>2.5</v>
      </c>
      <c r="R64" s="4">
        <f t="shared" si="10"/>
        <v>1</v>
      </c>
      <c r="U64" s="33" t="str">
        <f t="shared" si="5"/>
        <v/>
      </c>
      <c r="BA64" s="4">
        <v>209</v>
      </c>
      <c r="BB64" s="4">
        <v>2</v>
      </c>
      <c r="BC64" s="4" t="s">
        <v>1131</v>
      </c>
      <c r="BD64" s="4" t="s">
        <v>1077</v>
      </c>
      <c r="BE64" s="4" t="s">
        <v>240</v>
      </c>
      <c r="BF64" s="4">
        <v>0.8</v>
      </c>
      <c r="BG64" s="4">
        <v>0.8</v>
      </c>
      <c r="BI64" s="4">
        <v>2.5</v>
      </c>
      <c r="BK64" s="4">
        <v>1</v>
      </c>
      <c r="BL64" s="4" t="s">
        <v>1133</v>
      </c>
      <c r="BM64" s="4" t="s">
        <v>1132</v>
      </c>
    </row>
    <row r="65" spans="4:65">
      <c r="D65" s="17" t="str">
        <f t="shared" si="6"/>
        <v>EinzelfuttermittelKatzeMineralstoffe</v>
      </c>
      <c r="E65" s="4" t="s">
        <v>240</v>
      </c>
      <c r="F65" s="19" t="s">
        <v>90</v>
      </c>
      <c r="G65" s="32" t="s">
        <v>437</v>
      </c>
      <c r="L65" s="4" t="s">
        <v>3215</v>
      </c>
      <c r="M65" s="4">
        <f t="shared" si="7"/>
        <v>0</v>
      </c>
      <c r="N65" s="4">
        <f t="shared" si="8"/>
        <v>0.4</v>
      </c>
      <c r="P65" s="4">
        <f t="shared" si="9"/>
        <v>0.1</v>
      </c>
      <c r="R65" s="4">
        <f t="shared" si="10"/>
        <v>1.4</v>
      </c>
      <c r="U65" s="33" t="str">
        <f t="shared" si="5"/>
        <v/>
      </c>
      <c r="X65" s="4">
        <v>120</v>
      </c>
      <c r="BA65" s="4">
        <v>16.989999999999998</v>
      </c>
      <c r="BB65" s="4">
        <v>10</v>
      </c>
      <c r="BC65" s="4" t="s">
        <v>1175</v>
      </c>
      <c r="BD65" s="4" t="s">
        <v>1173</v>
      </c>
      <c r="BE65" s="4" t="s">
        <v>240</v>
      </c>
      <c r="BG65" s="4">
        <v>0.4</v>
      </c>
      <c r="BI65" s="4">
        <v>0.1</v>
      </c>
      <c r="BK65" s="4">
        <v>1.4</v>
      </c>
      <c r="BL65" s="4" t="s">
        <v>1176</v>
      </c>
      <c r="BM65" s="4">
        <v>42</v>
      </c>
    </row>
    <row r="66" spans="4:65">
      <c r="D66" s="17" t="str">
        <f t="shared" si="6"/>
        <v>EinzelfuttermittelKatzeGemüse, Obst und Faserstoffe</v>
      </c>
      <c r="E66" s="4" t="s">
        <v>240</v>
      </c>
      <c r="F66" s="19" t="s">
        <v>90</v>
      </c>
      <c r="G66" s="32" t="s">
        <v>2855</v>
      </c>
      <c r="L66" s="4" t="s">
        <v>2867</v>
      </c>
      <c r="M66" s="4">
        <f t="shared" si="7"/>
        <v>7</v>
      </c>
      <c r="N66" s="4">
        <f t="shared" si="8"/>
        <v>46</v>
      </c>
      <c r="P66" s="4">
        <f t="shared" si="9"/>
        <v>3</v>
      </c>
      <c r="R66" s="4">
        <f t="shared" si="10"/>
        <v>0</v>
      </c>
      <c r="U66" s="33" t="str">
        <f t="shared" si="5"/>
        <v/>
      </c>
      <c r="BA66" s="4">
        <v>27.1</v>
      </c>
      <c r="BC66" s="4" t="s">
        <v>524</v>
      </c>
      <c r="BD66" s="4" t="s">
        <v>1173</v>
      </c>
      <c r="BE66" s="4" t="s">
        <v>240</v>
      </c>
      <c r="BF66" s="4">
        <v>7</v>
      </c>
      <c r="BG66" s="4">
        <v>46</v>
      </c>
      <c r="BI66" s="4">
        <v>3</v>
      </c>
      <c r="BL66" s="4" t="s">
        <v>1189</v>
      </c>
      <c r="BM66" s="4" t="s">
        <v>1188</v>
      </c>
    </row>
    <row r="67" spans="4:65">
      <c r="D67" s="17" t="str">
        <f t="shared" si="6"/>
        <v>EinzelfuttermittelKatzeFleisch-, Fisch- und Algenprodukte</v>
      </c>
      <c r="E67" s="4" t="s">
        <v>240</v>
      </c>
      <c r="F67" s="19" t="s">
        <v>90</v>
      </c>
      <c r="G67" s="4" t="s">
        <v>2854</v>
      </c>
      <c r="L67" s="4" t="s">
        <v>220</v>
      </c>
      <c r="M67" s="4">
        <f t="shared" si="7"/>
        <v>22.5</v>
      </c>
      <c r="N67" s="4">
        <f t="shared" si="8"/>
        <v>5</v>
      </c>
      <c r="P67" s="4">
        <f t="shared" si="9"/>
        <v>2</v>
      </c>
      <c r="R67" s="4">
        <f t="shared" si="10"/>
        <v>3.4</v>
      </c>
      <c r="U67" s="33" t="str">
        <f t="shared" si="5"/>
        <v/>
      </c>
      <c r="BA67" s="4">
        <v>21.32</v>
      </c>
      <c r="BC67" s="4" t="s">
        <v>220</v>
      </c>
      <c r="BD67" s="4" t="s">
        <v>1173</v>
      </c>
      <c r="BE67" s="4" t="s">
        <v>240</v>
      </c>
      <c r="BF67" s="4">
        <v>22.5</v>
      </c>
      <c r="BG67" s="4">
        <v>5</v>
      </c>
      <c r="BI67" s="4">
        <v>2</v>
      </c>
      <c r="BK67" s="4">
        <v>3.4</v>
      </c>
      <c r="BL67" s="4" t="s">
        <v>1191</v>
      </c>
      <c r="BM67" s="4" t="s">
        <v>1190</v>
      </c>
    </row>
    <row r="68" spans="4:65">
      <c r="D68" s="17" t="str">
        <f t="shared" ref="D68:D99" si="11">E68&amp;""&amp;F68&amp;""&amp;G68&amp;""&amp;H68</f>
        <v>EinzelfuttermittelKatzeEi- und Milchprodukte</v>
      </c>
      <c r="E68" s="4" t="s">
        <v>240</v>
      </c>
      <c r="F68" s="19" t="s">
        <v>90</v>
      </c>
      <c r="G68" s="4" t="s">
        <v>2856</v>
      </c>
      <c r="L68" s="4" t="s">
        <v>2873</v>
      </c>
      <c r="M68" s="4">
        <f t="shared" ref="M68:M89" si="12">BF68</f>
        <v>6.2</v>
      </c>
      <c r="N68" s="4">
        <f t="shared" ref="N68:N89" si="13">BG68</f>
        <v>24.8</v>
      </c>
      <c r="P68" s="4">
        <f t="shared" ref="P68:P89" si="14">BI68</f>
        <v>18.899999999999999</v>
      </c>
      <c r="R68" s="4">
        <f t="shared" ref="R68:R89" si="15">BK68</f>
        <v>24.5</v>
      </c>
      <c r="U68" s="33" t="str">
        <f t="shared" si="5"/>
        <v/>
      </c>
      <c r="BA68" s="4">
        <v>998</v>
      </c>
      <c r="BC68" s="4" t="s">
        <v>1209</v>
      </c>
      <c r="BD68" s="4" t="s">
        <v>1173</v>
      </c>
      <c r="BE68" s="4" t="s">
        <v>240</v>
      </c>
      <c r="BF68" s="4">
        <v>6.2</v>
      </c>
      <c r="BG68" s="4">
        <v>24.8</v>
      </c>
      <c r="BI68" s="4">
        <v>18.899999999999999</v>
      </c>
      <c r="BK68" s="4">
        <v>24.5</v>
      </c>
      <c r="BL68" s="4" t="s">
        <v>1211</v>
      </c>
      <c r="BM68" s="4" t="s">
        <v>1210</v>
      </c>
    </row>
    <row r="69" spans="4:65">
      <c r="D69" s="17" t="str">
        <f t="shared" si="11"/>
        <v>EinzelfuttermittelKatzeFleisch-, Fisch- und Algenprodukte</v>
      </c>
      <c r="E69" s="4" t="s">
        <v>240</v>
      </c>
      <c r="F69" s="19" t="s">
        <v>90</v>
      </c>
      <c r="G69" s="4" t="s">
        <v>2854</v>
      </c>
      <c r="L69" s="4" t="s">
        <v>2859</v>
      </c>
      <c r="M69" s="4">
        <f t="shared" si="12"/>
        <v>5.4</v>
      </c>
      <c r="N69" s="4">
        <f t="shared" si="13"/>
        <v>57.4</v>
      </c>
      <c r="P69" s="4">
        <f t="shared" si="14"/>
        <v>10.5</v>
      </c>
      <c r="R69" s="4">
        <f t="shared" si="15"/>
        <v>0</v>
      </c>
      <c r="U69" s="33" t="str">
        <f t="shared" ref="U69:U132" si="16">IF(S69="","",S69/T69)</f>
        <v/>
      </c>
      <c r="BA69" s="4">
        <v>294.17</v>
      </c>
      <c r="BB69" s="4">
        <v>0.75</v>
      </c>
      <c r="BC69" s="4" t="s">
        <v>503</v>
      </c>
      <c r="BD69" s="4" t="s">
        <v>1217</v>
      </c>
      <c r="BE69" s="4" t="s">
        <v>240</v>
      </c>
      <c r="BF69" s="4">
        <v>5.4</v>
      </c>
      <c r="BG69" s="4">
        <v>57.4</v>
      </c>
      <c r="BI69" s="4">
        <v>10.5</v>
      </c>
      <c r="BL69" s="4" t="s">
        <v>1225</v>
      </c>
      <c r="BM69" s="4" t="s">
        <v>1224</v>
      </c>
    </row>
    <row r="70" spans="4:65">
      <c r="D70" s="17" t="str">
        <f t="shared" si="11"/>
        <v>EinzelfuttermittelKatzeFleisch-, Fisch- und Algenprodukte</v>
      </c>
      <c r="E70" s="4" t="s">
        <v>240</v>
      </c>
      <c r="F70" s="19" t="s">
        <v>90</v>
      </c>
      <c r="G70" s="4" t="s">
        <v>2854</v>
      </c>
      <c r="L70" s="4" t="s">
        <v>2864</v>
      </c>
      <c r="M70" s="4">
        <f t="shared" si="12"/>
        <v>0</v>
      </c>
      <c r="N70" s="4">
        <f t="shared" si="13"/>
        <v>59.3</v>
      </c>
      <c r="P70" s="4">
        <f t="shared" si="14"/>
        <v>8.6999999999999993</v>
      </c>
      <c r="R70" s="4">
        <f t="shared" si="15"/>
        <v>0</v>
      </c>
      <c r="U70" s="33" t="str">
        <f t="shared" si="16"/>
        <v/>
      </c>
      <c r="BA70" s="4">
        <v>258.89999999999998</v>
      </c>
      <c r="BB70" s="4">
        <v>0.5</v>
      </c>
      <c r="BC70" s="4" t="s">
        <v>1228</v>
      </c>
      <c r="BD70" s="4" t="s">
        <v>1217</v>
      </c>
      <c r="BE70" s="4" t="s">
        <v>240</v>
      </c>
      <c r="BG70" s="4">
        <v>59.3</v>
      </c>
      <c r="BI70" s="4">
        <v>8.6999999999999993</v>
      </c>
      <c r="BL70" s="4" t="s">
        <v>1230</v>
      </c>
      <c r="BM70" s="4" t="s">
        <v>1229</v>
      </c>
    </row>
    <row r="71" spans="4:65">
      <c r="D71" s="17" t="str">
        <f t="shared" si="11"/>
        <v>EinzelfuttermittelKatzeGemüse, Obst und Faserstoffe</v>
      </c>
      <c r="E71" s="4" t="s">
        <v>240</v>
      </c>
      <c r="F71" s="19" t="s">
        <v>90</v>
      </c>
      <c r="G71" s="4" t="s">
        <v>2855</v>
      </c>
      <c r="L71" s="27" t="s">
        <v>334</v>
      </c>
      <c r="M71" s="4">
        <f t="shared" si="12"/>
        <v>0</v>
      </c>
      <c r="N71" s="4">
        <f t="shared" si="13"/>
        <v>0</v>
      </c>
      <c r="P71" s="4">
        <f t="shared" si="14"/>
        <v>0</v>
      </c>
      <c r="R71" s="4">
        <f t="shared" si="15"/>
        <v>14.9</v>
      </c>
      <c r="U71" s="33" t="str">
        <f t="shared" si="16"/>
        <v/>
      </c>
      <c r="BA71" s="4">
        <v>63.27</v>
      </c>
      <c r="BB71" s="4">
        <v>1</v>
      </c>
      <c r="BC71" s="4" t="s">
        <v>1237</v>
      </c>
      <c r="BD71" s="4" t="s">
        <v>1217</v>
      </c>
      <c r="BE71" s="4" t="s">
        <v>240</v>
      </c>
      <c r="BK71" s="4">
        <v>14.9</v>
      </c>
      <c r="BL71" s="4" t="s">
        <v>1237</v>
      </c>
      <c r="BM71" s="4" t="s">
        <v>1238</v>
      </c>
    </row>
    <row r="72" spans="4:65">
      <c r="D72" s="17" t="str">
        <f t="shared" si="11"/>
        <v>EinzelfuttermittelKatzeFleisch-, Fisch- und Algenprodukte</v>
      </c>
      <c r="E72" s="4" t="s">
        <v>240</v>
      </c>
      <c r="F72" s="19" t="s">
        <v>90</v>
      </c>
      <c r="G72" s="4" t="s">
        <v>2854</v>
      </c>
      <c r="L72" s="4" t="s">
        <v>2859</v>
      </c>
      <c r="M72" s="4">
        <f t="shared" si="12"/>
        <v>8.4</v>
      </c>
      <c r="N72" s="4">
        <f t="shared" si="13"/>
        <v>66.5</v>
      </c>
      <c r="P72" s="4">
        <f t="shared" si="14"/>
        <v>6.1</v>
      </c>
      <c r="R72" s="4">
        <f t="shared" si="15"/>
        <v>0</v>
      </c>
      <c r="U72" s="33" t="str">
        <f t="shared" si="16"/>
        <v/>
      </c>
      <c r="BA72" s="4">
        <v>263.61</v>
      </c>
      <c r="BC72" s="4" t="s">
        <v>1239</v>
      </c>
      <c r="BD72" s="4" t="s">
        <v>1217</v>
      </c>
      <c r="BE72" s="4" t="s">
        <v>240</v>
      </c>
      <c r="BF72" s="4">
        <v>8.4</v>
      </c>
      <c r="BG72" s="4">
        <v>66.5</v>
      </c>
      <c r="BI72" s="4">
        <v>6.1</v>
      </c>
      <c r="BL72" s="4" t="s">
        <v>1241</v>
      </c>
      <c r="BM72" s="4" t="s">
        <v>1240</v>
      </c>
    </row>
    <row r="73" spans="4:65">
      <c r="D73" s="17" t="str">
        <f t="shared" si="11"/>
        <v>EinzelfuttermittelKatzeGemüse, Obst und Faserstoffe</v>
      </c>
      <c r="E73" s="4" t="s">
        <v>240</v>
      </c>
      <c r="F73" s="19" t="s">
        <v>90</v>
      </c>
      <c r="G73" s="4" t="s">
        <v>2855</v>
      </c>
      <c r="L73" s="4" t="s">
        <v>2900</v>
      </c>
      <c r="M73" s="4">
        <f t="shared" si="12"/>
        <v>0</v>
      </c>
      <c r="N73" s="4">
        <f t="shared" si="13"/>
        <v>6.7</v>
      </c>
      <c r="P73" s="4">
        <f t="shared" si="14"/>
        <v>66.599999999999994</v>
      </c>
      <c r="R73" s="4">
        <f t="shared" si="15"/>
        <v>14.9</v>
      </c>
      <c r="U73" s="33" t="str">
        <f t="shared" si="16"/>
        <v/>
      </c>
      <c r="BA73" s="4">
        <v>42.36</v>
      </c>
      <c r="BB73" s="4">
        <v>0.3</v>
      </c>
      <c r="BC73" s="4" t="s">
        <v>1242</v>
      </c>
      <c r="BD73" s="4" t="s">
        <v>1217</v>
      </c>
      <c r="BE73" s="4" t="s">
        <v>240</v>
      </c>
      <c r="BG73" s="4">
        <v>6.7</v>
      </c>
      <c r="BI73" s="4">
        <v>66.599999999999994</v>
      </c>
      <c r="BK73" s="4">
        <v>14.9</v>
      </c>
      <c r="BL73" s="4" t="s">
        <v>1244</v>
      </c>
      <c r="BM73" s="4" t="s">
        <v>1243</v>
      </c>
    </row>
    <row r="74" spans="4:65">
      <c r="D74" s="17" t="str">
        <f t="shared" si="11"/>
        <v>EinzelfuttermittelKatzeMineralstoffe</v>
      </c>
      <c r="E74" s="4" t="s">
        <v>240</v>
      </c>
      <c r="F74" s="4" t="s">
        <v>90</v>
      </c>
      <c r="G74" s="4" t="s">
        <v>437</v>
      </c>
      <c r="L74" s="4" t="s">
        <v>1008</v>
      </c>
      <c r="M74" s="4">
        <f t="shared" si="12"/>
        <v>0</v>
      </c>
      <c r="N74" s="4">
        <f t="shared" si="13"/>
        <v>0</v>
      </c>
      <c r="P74" s="4">
        <f t="shared" si="14"/>
        <v>0</v>
      </c>
      <c r="R74" s="4">
        <f t="shared" si="15"/>
        <v>0</v>
      </c>
      <c r="U74" s="33" t="str">
        <f t="shared" si="16"/>
        <v/>
      </c>
      <c r="W74" s="4">
        <v>36000</v>
      </c>
      <c r="AF74" s="4">
        <f>AG74*EFM!$BO$13</f>
        <v>0</v>
      </c>
      <c r="AL74" s="4">
        <f>AK74*EFM!$BO$14</f>
        <v>0</v>
      </c>
      <c r="BA74" s="4">
        <v>99.33</v>
      </c>
      <c r="BB74" s="4">
        <v>0.75</v>
      </c>
      <c r="BC74" s="4" t="s">
        <v>1008</v>
      </c>
      <c r="BD74" s="4" t="s">
        <v>997</v>
      </c>
      <c r="BE74" s="4" t="s">
        <v>240</v>
      </c>
      <c r="BL74" s="4" t="s">
        <v>1008</v>
      </c>
      <c r="BM74" s="4" t="s">
        <v>1009</v>
      </c>
    </row>
    <row r="75" spans="4:65">
      <c r="D75" s="17" t="str">
        <f t="shared" si="11"/>
        <v>EinzelfuttermittelKatzeMineralstoffe</v>
      </c>
      <c r="E75" s="4" t="s">
        <v>240</v>
      </c>
      <c r="F75" s="4" t="s">
        <v>90</v>
      </c>
      <c r="G75" s="4" t="s">
        <v>437</v>
      </c>
      <c r="L75" s="4" t="s">
        <v>1031</v>
      </c>
      <c r="M75" s="4">
        <f t="shared" si="12"/>
        <v>0</v>
      </c>
      <c r="N75" s="4">
        <f t="shared" si="13"/>
        <v>0</v>
      </c>
      <c r="P75" s="4">
        <f t="shared" si="14"/>
        <v>0</v>
      </c>
      <c r="R75" s="4">
        <f t="shared" si="15"/>
        <v>0</v>
      </c>
      <c r="S75" s="4">
        <v>16000</v>
      </c>
      <c r="T75" s="4">
        <v>22700</v>
      </c>
      <c r="U75" s="33">
        <f t="shared" si="16"/>
        <v>0.70484581497797361</v>
      </c>
      <c r="AF75" s="4">
        <f>AG75*EFM!$BO$13</f>
        <v>0</v>
      </c>
      <c r="AL75" s="4">
        <f>AK75*EFM!$BO$14</f>
        <v>0</v>
      </c>
      <c r="BA75" s="4">
        <v>31.8</v>
      </c>
      <c r="BC75" s="4" t="s">
        <v>1032</v>
      </c>
      <c r="BD75" s="4" t="s">
        <v>997</v>
      </c>
      <c r="BE75" s="4" t="s">
        <v>240</v>
      </c>
      <c r="BL75" s="4" t="s">
        <v>1034</v>
      </c>
      <c r="BM75" s="4" t="s">
        <v>1033</v>
      </c>
    </row>
    <row r="76" spans="4:65">
      <c r="D76" s="17" t="str">
        <f t="shared" si="11"/>
        <v>EinzelfuttermittelKatzeMineralstoffe</v>
      </c>
      <c r="E76" s="4" t="s">
        <v>240</v>
      </c>
      <c r="F76" s="19" t="s">
        <v>90</v>
      </c>
      <c r="G76" s="4" t="s">
        <v>437</v>
      </c>
      <c r="L76" s="4" t="s">
        <v>1038</v>
      </c>
      <c r="M76" s="4">
        <f t="shared" si="12"/>
        <v>0</v>
      </c>
      <c r="N76" s="4">
        <f t="shared" si="13"/>
        <v>0</v>
      </c>
      <c r="P76" s="4">
        <f t="shared" si="14"/>
        <v>0</v>
      </c>
      <c r="R76" s="4">
        <f t="shared" si="15"/>
        <v>0</v>
      </c>
      <c r="S76" s="4">
        <v>36000</v>
      </c>
      <c r="T76" s="4">
        <v>1</v>
      </c>
      <c r="U76" s="33">
        <f t="shared" si="16"/>
        <v>36000</v>
      </c>
      <c r="AF76" s="4">
        <f>AG76*EFM!$BO$13</f>
        <v>0</v>
      </c>
      <c r="AL76" s="4">
        <f>AK76*EFM!$BO$14</f>
        <v>0</v>
      </c>
      <c r="BA76" s="4">
        <v>27.8</v>
      </c>
      <c r="BB76" s="4">
        <v>1.25</v>
      </c>
      <c r="BC76" s="4" t="s">
        <v>1038</v>
      </c>
      <c r="BD76" s="4" t="s">
        <v>997</v>
      </c>
      <c r="BE76" s="4" t="s">
        <v>240</v>
      </c>
      <c r="BL76" s="4" t="s">
        <v>1040</v>
      </c>
      <c r="BM76" s="4" t="s">
        <v>1039</v>
      </c>
    </row>
    <row r="77" spans="4:65">
      <c r="D77" s="17" t="str">
        <f t="shared" si="11"/>
        <v>EinzelfuttermittelKatzeMineralstoffe</v>
      </c>
      <c r="E77" s="4" t="s">
        <v>240</v>
      </c>
      <c r="F77" s="19" t="s">
        <v>90</v>
      </c>
      <c r="G77" s="4" t="s">
        <v>437</v>
      </c>
      <c r="L77" s="4" t="s">
        <v>1057</v>
      </c>
      <c r="M77" s="4">
        <f t="shared" si="12"/>
        <v>0</v>
      </c>
      <c r="N77" s="4">
        <f t="shared" si="13"/>
        <v>0</v>
      </c>
      <c r="P77" s="4">
        <f t="shared" si="14"/>
        <v>0</v>
      </c>
      <c r="R77" s="4">
        <f t="shared" si="15"/>
        <v>0</v>
      </c>
      <c r="S77" s="4">
        <v>9000</v>
      </c>
      <c r="T77" s="4">
        <v>1</v>
      </c>
      <c r="U77" s="33">
        <f t="shared" si="16"/>
        <v>9000</v>
      </c>
      <c r="AF77" s="4">
        <f>AG77*EFM!$BO$13</f>
        <v>0</v>
      </c>
      <c r="AL77" s="4">
        <f>AK77*EFM!$BO$14</f>
        <v>0</v>
      </c>
      <c r="BA77" s="4">
        <v>49.8</v>
      </c>
      <c r="BC77" s="4" t="s">
        <v>1057</v>
      </c>
      <c r="BD77" s="4" t="s">
        <v>997</v>
      </c>
      <c r="BE77" s="4" t="s">
        <v>240</v>
      </c>
      <c r="BL77" s="4" t="s">
        <v>1059</v>
      </c>
      <c r="BM77" s="4" t="s">
        <v>1058</v>
      </c>
    </row>
    <row r="78" spans="4:65" ht="14.5">
      <c r="D78" s="17" t="str">
        <f t="shared" si="11"/>
        <v>EinzelfuttermittelKatzeInnereien, TNPs, Schlachtabfälle und Tiermehle</v>
      </c>
      <c r="E78" s="4" t="s">
        <v>240</v>
      </c>
      <c r="F78" s="19" t="s">
        <v>90</v>
      </c>
      <c r="G78" s="4" t="s">
        <v>2852</v>
      </c>
      <c r="I78" s="18"/>
      <c r="L78" s="4" t="s">
        <v>2874</v>
      </c>
      <c r="M78">
        <f t="shared" si="12"/>
        <v>72.8</v>
      </c>
      <c r="N78" s="20">
        <f t="shared" si="13"/>
        <v>0.6</v>
      </c>
      <c r="P78">
        <f t="shared" si="14"/>
        <v>0.3</v>
      </c>
      <c r="Q78"/>
      <c r="R78">
        <f t="shared" si="15"/>
        <v>0.3</v>
      </c>
      <c r="S78" s="4">
        <v>22600</v>
      </c>
      <c r="T78" s="4">
        <v>17700</v>
      </c>
      <c r="U78" s="33">
        <f t="shared" si="16"/>
        <v>1.2768361581920904</v>
      </c>
      <c r="X78" s="4">
        <v>30</v>
      </c>
      <c r="BA78" s="4">
        <v>14.25</v>
      </c>
      <c r="BB78" s="4">
        <v>1</v>
      </c>
      <c r="BC78" s="4" t="s">
        <v>232</v>
      </c>
      <c r="BD78" s="4" t="s">
        <v>214</v>
      </c>
      <c r="BE78" s="4" t="s">
        <v>240</v>
      </c>
      <c r="BF78" s="4">
        <v>72.8</v>
      </c>
      <c r="BG78" s="4">
        <v>0.6</v>
      </c>
      <c r="BI78" s="4">
        <v>0.3</v>
      </c>
      <c r="BK78" s="4">
        <v>0.3</v>
      </c>
      <c r="BL78" s="4" t="s">
        <v>233</v>
      </c>
      <c r="BM78" s="4" t="s">
        <v>234</v>
      </c>
    </row>
    <row r="79" spans="4:65" ht="14.5">
      <c r="D79" s="17" t="str">
        <f t="shared" si="11"/>
        <v>EinzelfuttermittelKatzeInnereien, TNPs, Schlachtabfälle und Tiermehle</v>
      </c>
      <c r="E79" s="4" t="s">
        <v>240</v>
      </c>
      <c r="F79" s="19" t="s">
        <v>90</v>
      </c>
      <c r="G79" s="4" t="s">
        <v>2852</v>
      </c>
      <c r="L79" s="4" t="s">
        <v>2874</v>
      </c>
      <c r="M79">
        <f t="shared" si="12"/>
        <v>42.3</v>
      </c>
      <c r="N79" s="20">
        <f t="shared" si="13"/>
        <v>48.8</v>
      </c>
      <c r="P79">
        <f t="shared" si="14"/>
        <v>6.9</v>
      </c>
      <c r="Q79"/>
      <c r="R79">
        <f t="shared" si="15"/>
        <v>0</v>
      </c>
      <c r="S79" s="4">
        <v>14200</v>
      </c>
      <c r="T79" s="4">
        <v>6800</v>
      </c>
      <c r="U79" s="33">
        <f t="shared" si="16"/>
        <v>2.0882352941176472</v>
      </c>
      <c r="BA79" s="4">
        <v>15.5</v>
      </c>
      <c r="BB79" s="4">
        <v>1.25</v>
      </c>
      <c r="BC79" s="4" t="s">
        <v>294</v>
      </c>
      <c r="BD79" s="4" t="s">
        <v>269</v>
      </c>
      <c r="BE79" s="4" t="s">
        <v>240</v>
      </c>
      <c r="BF79" s="4">
        <v>42.3</v>
      </c>
      <c r="BG79" s="4">
        <v>48.8</v>
      </c>
      <c r="BI79" s="4">
        <v>6.9</v>
      </c>
      <c r="BL79" s="4" t="s">
        <v>295</v>
      </c>
      <c r="BM79" s="4" t="s">
        <v>296</v>
      </c>
    </row>
    <row r="80" spans="4:65" ht="14.5">
      <c r="D80" s="17" t="str">
        <f t="shared" si="11"/>
        <v>EinzelfuttermittelKatzeInnereien, TNPs, Schlachtabfälle und Tiermehle</v>
      </c>
      <c r="E80" s="4" t="s">
        <v>240</v>
      </c>
      <c r="F80" s="19" t="s">
        <v>90</v>
      </c>
      <c r="G80" s="4" t="s">
        <v>2852</v>
      </c>
      <c r="L80" s="4" t="s">
        <v>2874</v>
      </c>
      <c r="M80">
        <f t="shared" si="12"/>
        <v>39.1</v>
      </c>
      <c r="N80" s="20">
        <f t="shared" si="13"/>
        <v>46.2</v>
      </c>
      <c r="P80">
        <f t="shared" si="14"/>
        <v>11</v>
      </c>
      <c r="Q80"/>
      <c r="R80">
        <f t="shared" si="15"/>
        <v>0</v>
      </c>
      <c r="S80" s="4">
        <v>14400</v>
      </c>
      <c r="T80" s="4">
        <v>6650</v>
      </c>
      <c r="U80" s="33">
        <f t="shared" si="16"/>
        <v>2.1654135338345863</v>
      </c>
      <c r="BA80" s="4">
        <v>24.99</v>
      </c>
      <c r="BB80" s="4">
        <v>1.25</v>
      </c>
      <c r="BC80" s="4" t="s">
        <v>297</v>
      </c>
      <c r="BD80" s="4" t="s">
        <v>269</v>
      </c>
      <c r="BE80" s="4" t="s">
        <v>240</v>
      </c>
      <c r="BF80" s="4">
        <v>39.1</v>
      </c>
      <c r="BG80" s="4">
        <v>46.2</v>
      </c>
      <c r="BI80" s="4">
        <v>11</v>
      </c>
      <c r="BL80" s="4" t="s">
        <v>299</v>
      </c>
      <c r="BM80" s="4" t="s">
        <v>298</v>
      </c>
    </row>
    <row r="81" spans="4:65" ht="14.5">
      <c r="D81" s="17" t="str">
        <f t="shared" si="11"/>
        <v>EinzelfuttermittelKatzeInnereien, TNPs, Schlachtabfälle und Tiermehle</v>
      </c>
      <c r="E81" s="4" t="s">
        <v>240</v>
      </c>
      <c r="F81" s="19" t="s">
        <v>90</v>
      </c>
      <c r="G81" s="4" t="s">
        <v>2852</v>
      </c>
      <c r="I81" s="18"/>
      <c r="L81" s="4" t="s">
        <v>2874</v>
      </c>
      <c r="M81">
        <f t="shared" si="12"/>
        <v>3.1</v>
      </c>
      <c r="N81" s="20">
        <f t="shared" si="13"/>
        <v>44.1</v>
      </c>
      <c r="P81">
        <f t="shared" si="14"/>
        <v>9.9</v>
      </c>
      <c r="Q81"/>
      <c r="R81">
        <f t="shared" si="15"/>
        <v>0</v>
      </c>
      <c r="S81" s="4">
        <v>16000</v>
      </c>
      <c r="T81" s="4">
        <v>7540</v>
      </c>
      <c r="U81" s="33">
        <f t="shared" si="16"/>
        <v>2.1220159151193636</v>
      </c>
      <c r="BA81" s="4">
        <v>18.899999999999999</v>
      </c>
      <c r="BC81" s="4" t="s">
        <v>483</v>
      </c>
      <c r="BD81" s="4" t="s">
        <v>431</v>
      </c>
      <c r="BE81" s="4" t="s">
        <v>240</v>
      </c>
      <c r="BF81" s="4">
        <v>3.1</v>
      </c>
      <c r="BG81" s="4">
        <v>44.1</v>
      </c>
      <c r="BI81" s="4">
        <v>9.9</v>
      </c>
      <c r="BL81" s="4" t="s">
        <v>485</v>
      </c>
      <c r="BM81" s="4" t="s">
        <v>484</v>
      </c>
    </row>
    <row r="82" spans="4:65" ht="14.5">
      <c r="D82" s="17" t="str">
        <f t="shared" si="11"/>
        <v>EinzelfuttermittelKatzeInnereien, TNPs, Schlachtabfälle und Tiermehle</v>
      </c>
      <c r="E82" s="4" t="s">
        <v>240</v>
      </c>
      <c r="F82" s="19" t="s">
        <v>90</v>
      </c>
      <c r="G82" s="4" t="s">
        <v>2852</v>
      </c>
      <c r="I82" s="18"/>
      <c r="L82" s="4" t="s">
        <v>2874</v>
      </c>
      <c r="M82">
        <f t="shared" si="12"/>
        <v>51.6</v>
      </c>
      <c r="N82" s="20">
        <f t="shared" si="13"/>
        <v>33.9</v>
      </c>
      <c r="P82">
        <f t="shared" si="14"/>
        <v>13.1</v>
      </c>
      <c r="Q82"/>
      <c r="R82">
        <f t="shared" si="15"/>
        <v>0</v>
      </c>
      <c r="S82" s="4">
        <v>29800</v>
      </c>
      <c r="T82" s="4">
        <v>17200</v>
      </c>
      <c r="U82" s="33">
        <f t="shared" si="16"/>
        <v>1.7325581395348837</v>
      </c>
      <c r="BA82" s="4">
        <v>24</v>
      </c>
      <c r="BC82" s="4" t="s">
        <v>486</v>
      </c>
      <c r="BD82" s="4" t="s">
        <v>431</v>
      </c>
      <c r="BE82" s="4" t="s">
        <v>240</v>
      </c>
      <c r="BF82" s="4">
        <v>51.6</v>
      </c>
      <c r="BG82" s="4">
        <v>33.9</v>
      </c>
      <c r="BI82" s="4">
        <v>13.1</v>
      </c>
      <c r="BL82" s="4" t="s">
        <v>488</v>
      </c>
      <c r="BM82" s="4" t="s">
        <v>487</v>
      </c>
    </row>
    <row r="83" spans="4:65" ht="14.5">
      <c r="D83" s="17" t="str">
        <f t="shared" si="11"/>
        <v>EinzelfuttermittelKatzeInnereien, TNPs, Schlachtabfälle und Tiermehle</v>
      </c>
      <c r="E83" s="4" t="s">
        <v>240</v>
      </c>
      <c r="F83" s="19" t="s">
        <v>90</v>
      </c>
      <c r="G83" s="4" t="s">
        <v>2852</v>
      </c>
      <c r="L83" s="4" t="s">
        <v>2874</v>
      </c>
      <c r="M83">
        <f t="shared" si="12"/>
        <v>32.4</v>
      </c>
      <c r="N83" s="20">
        <f t="shared" si="13"/>
        <v>49.9</v>
      </c>
      <c r="O83" s="20">
        <f t="shared" ref="O83:O89" si="17">BH83</f>
        <v>0</v>
      </c>
      <c r="P83">
        <f t="shared" si="14"/>
        <v>12.9</v>
      </c>
      <c r="Q83"/>
      <c r="R83">
        <f t="shared" si="15"/>
        <v>0</v>
      </c>
      <c r="S83" s="4">
        <v>12700</v>
      </c>
      <c r="T83" s="4">
        <v>6100</v>
      </c>
      <c r="U83" s="33">
        <f t="shared" si="16"/>
        <v>2.081967213114754</v>
      </c>
      <c r="BA83" s="4">
        <v>14.9</v>
      </c>
      <c r="BC83" s="4" t="s">
        <v>489</v>
      </c>
      <c r="BD83" s="4" t="s">
        <v>431</v>
      </c>
      <c r="BE83" s="4" t="s">
        <v>240</v>
      </c>
      <c r="BF83" s="4">
        <v>32.4</v>
      </c>
      <c r="BG83" s="4">
        <v>49.9</v>
      </c>
      <c r="BI83" s="4">
        <v>12.9</v>
      </c>
      <c r="BL83" s="4" t="s">
        <v>491</v>
      </c>
      <c r="BM83" s="4" t="s">
        <v>490</v>
      </c>
    </row>
    <row r="84" spans="4:65" ht="14.5">
      <c r="D84" s="17" t="str">
        <f t="shared" si="11"/>
        <v>EinzelfuttermittelKatzeInnereien, TNPs, Schlachtabfälle und Tiermehle</v>
      </c>
      <c r="E84" s="4" t="s">
        <v>240</v>
      </c>
      <c r="F84" s="19" t="s">
        <v>90</v>
      </c>
      <c r="G84" s="4" t="s">
        <v>2852</v>
      </c>
      <c r="L84" s="4" t="s">
        <v>2874</v>
      </c>
      <c r="M84">
        <f t="shared" si="12"/>
        <v>35.799999999999997</v>
      </c>
      <c r="N84" s="20">
        <f t="shared" si="13"/>
        <v>49.9</v>
      </c>
      <c r="O84" s="20">
        <f t="shared" si="17"/>
        <v>0</v>
      </c>
      <c r="P84">
        <f t="shared" si="14"/>
        <v>11.4</v>
      </c>
      <c r="R84">
        <f t="shared" si="15"/>
        <v>0</v>
      </c>
      <c r="S84" s="4">
        <v>14400</v>
      </c>
      <c r="T84" s="4">
        <v>6650</v>
      </c>
      <c r="U84" s="33">
        <f t="shared" si="16"/>
        <v>2.1654135338345863</v>
      </c>
      <c r="BA84" s="4">
        <v>19.5</v>
      </c>
      <c r="BC84" s="4" t="s">
        <v>492</v>
      </c>
      <c r="BD84" s="4" t="s">
        <v>431</v>
      </c>
      <c r="BE84" s="4" t="s">
        <v>240</v>
      </c>
      <c r="BF84" s="4">
        <v>35.799999999999997</v>
      </c>
      <c r="BG84" s="4">
        <v>49.9</v>
      </c>
      <c r="BI84" s="4">
        <v>11.4</v>
      </c>
      <c r="BL84" s="4" t="s">
        <v>494</v>
      </c>
      <c r="BM84" s="4" t="s">
        <v>493</v>
      </c>
    </row>
    <row r="85" spans="4:65" ht="14.5">
      <c r="D85" s="17" t="str">
        <f t="shared" si="11"/>
        <v>EinzelfuttermittelKatzeInnereien, TNPs, Schlachtabfälle und Tiermehle</v>
      </c>
      <c r="E85" s="4" t="s">
        <v>240</v>
      </c>
      <c r="F85" s="19" t="s">
        <v>90</v>
      </c>
      <c r="G85" s="4" t="s">
        <v>2852</v>
      </c>
      <c r="I85" s="18"/>
      <c r="L85" s="4" t="s">
        <v>2874</v>
      </c>
      <c r="M85">
        <f t="shared" si="12"/>
        <v>0</v>
      </c>
      <c r="N85" s="20">
        <f t="shared" si="13"/>
        <v>49.6</v>
      </c>
      <c r="O85" s="20">
        <f t="shared" si="17"/>
        <v>0</v>
      </c>
      <c r="P85">
        <f t="shared" si="14"/>
        <v>7.2</v>
      </c>
      <c r="R85">
        <f t="shared" si="15"/>
        <v>0</v>
      </c>
      <c r="S85" s="4">
        <v>14600</v>
      </c>
      <c r="T85" s="4">
        <v>6800</v>
      </c>
      <c r="U85" s="33">
        <f t="shared" si="16"/>
        <v>2.1470588235294117</v>
      </c>
      <c r="BA85" s="4">
        <v>13.9</v>
      </c>
      <c r="BC85" s="4" t="s">
        <v>495</v>
      </c>
      <c r="BD85" s="4" t="s">
        <v>431</v>
      </c>
      <c r="BE85" s="4" t="s">
        <v>240</v>
      </c>
      <c r="BG85" s="4">
        <v>49.6</v>
      </c>
      <c r="BI85" s="4">
        <v>7.2</v>
      </c>
      <c r="BL85" s="4" t="s">
        <v>497</v>
      </c>
      <c r="BM85" s="4" t="s">
        <v>496</v>
      </c>
    </row>
    <row r="86" spans="4:65" ht="14.5">
      <c r="D86" s="17" t="str">
        <f t="shared" si="11"/>
        <v>EinzelfuttermittelKatzeInnereien, TNPs, Schlachtabfälle und Tiermehle</v>
      </c>
      <c r="E86" s="4" t="s">
        <v>240</v>
      </c>
      <c r="F86" s="19" t="s">
        <v>90</v>
      </c>
      <c r="G86" s="4" t="s">
        <v>2852</v>
      </c>
      <c r="I86" s="18"/>
      <c r="L86" s="4" t="s">
        <v>2874</v>
      </c>
      <c r="M86">
        <f t="shared" si="12"/>
        <v>65.5</v>
      </c>
      <c r="N86" s="20">
        <f t="shared" si="13"/>
        <v>21.3</v>
      </c>
      <c r="O86" s="20">
        <f t="shared" si="17"/>
        <v>0</v>
      </c>
      <c r="P86">
        <f t="shared" si="14"/>
        <v>9</v>
      </c>
      <c r="R86">
        <f t="shared" si="15"/>
        <v>0</v>
      </c>
      <c r="S86" s="4">
        <v>21500</v>
      </c>
      <c r="T86" s="4">
        <v>10500</v>
      </c>
      <c r="U86" s="33">
        <f t="shared" si="16"/>
        <v>2.0476190476190474</v>
      </c>
      <c r="BA86" s="4">
        <v>24</v>
      </c>
      <c r="BC86" s="4" t="s">
        <v>498</v>
      </c>
      <c r="BD86" s="4" t="s">
        <v>431</v>
      </c>
      <c r="BE86" s="4" t="s">
        <v>240</v>
      </c>
      <c r="BF86" s="4">
        <v>65.5</v>
      </c>
      <c r="BG86" s="4">
        <v>21.3</v>
      </c>
      <c r="BI86" s="4">
        <v>9</v>
      </c>
      <c r="BL86" s="4" t="s">
        <v>500</v>
      </c>
      <c r="BM86" s="4" t="s">
        <v>499</v>
      </c>
    </row>
    <row r="87" spans="4:65" ht="14.5">
      <c r="D87" s="17" t="str">
        <f t="shared" si="11"/>
        <v>EinzelfuttermittelKatzeEi- und Milchprodukte</v>
      </c>
      <c r="E87" s="4" t="s">
        <v>240</v>
      </c>
      <c r="F87" s="19" t="s">
        <v>90</v>
      </c>
      <c r="G87" s="4" t="s">
        <v>2856</v>
      </c>
      <c r="L87" s="4" t="s">
        <v>2873</v>
      </c>
      <c r="M87">
        <f t="shared" si="12"/>
        <v>0</v>
      </c>
      <c r="N87" s="20">
        <f t="shared" si="13"/>
        <v>0</v>
      </c>
      <c r="O87" s="20">
        <f t="shared" si="17"/>
        <v>0</v>
      </c>
      <c r="P87">
        <f t="shared" si="14"/>
        <v>0</v>
      </c>
      <c r="Q87"/>
      <c r="R87">
        <f t="shared" si="15"/>
        <v>0</v>
      </c>
      <c r="U87" s="33" t="str">
        <f t="shared" si="16"/>
        <v/>
      </c>
      <c r="BA87" s="4">
        <v>191.6</v>
      </c>
      <c r="BC87" s="4" t="s">
        <v>930</v>
      </c>
      <c r="BD87" s="4" t="s">
        <v>912</v>
      </c>
      <c r="BE87" s="4" t="s">
        <v>240</v>
      </c>
      <c r="BL87" s="4" t="s">
        <v>932</v>
      </c>
      <c r="BM87" s="4" t="s">
        <v>931</v>
      </c>
    </row>
    <row r="88" spans="4:65" ht="14.5">
      <c r="D88" s="17" t="str">
        <f t="shared" si="11"/>
        <v>EinzelfuttermittelKatzeInnereien, TNPs, Schlachtabfälle und Tiermehle</v>
      </c>
      <c r="E88" s="4" t="s">
        <v>240</v>
      </c>
      <c r="F88" s="19" t="s">
        <v>90</v>
      </c>
      <c r="G88" s="32" t="s">
        <v>2852</v>
      </c>
      <c r="L88" s="4" t="s">
        <v>2894</v>
      </c>
      <c r="M88">
        <f t="shared" si="12"/>
        <v>0</v>
      </c>
      <c r="N88" s="20">
        <f t="shared" si="13"/>
        <v>0</v>
      </c>
      <c r="O88" s="20">
        <f t="shared" si="17"/>
        <v>0</v>
      </c>
      <c r="P88">
        <f t="shared" si="14"/>
        <v>0</v>
      </c>
      <c r="R88">
        <f t="shared" si="15"/>
        <v>0</v>
      </c>
      <c r="U88" s="33" t="str">
        <f t="shared" si="16"/>
        <v/>
      </c>
      <c r="AZ88" s="4">
        <v>98000</v>
      </c>
      <c r="BA88" s="4">
        <v>199.9</v>
      </c>
      <c r="BB88" s="4">
        <v>0.5</v>
      </c>
      <c r="BC88" s="4" t="s">
        <v>303</v>
      </c>
      <c r="BD88" s="4" t="s">
        <v>269</v>
      </c>
      <c r="BE88" s="4" t="s">
        <v>240</v>
      </c>
      <c r="BL88" s="4" t="s">
        <v>304</v>
      </c>
      <c r="BM88" s="4" t="s">
        <v>305</v>
      </c>
    </row>
    <row r="89" spans="4:65" ht="14.5">
      <c r="D89" s="17" t="str">
        <f t="shared" si="11"/>
        <v>EinzelfuttermittelKatzeFleisch-, Fisch- und Algenprodukte</v>
      </c>
      <c r="E89" s="4" t="s">
        <v>240</v>
      </c>
      <c r="F89" s="19" t="s">
        <v>90</v>
      </c>
      <c r="G89" s="4" t="s">
        <v>2854</v>
      </c>
      <c r="L89" s="4" t="s">
        <v>2859</v>
      </c>
      <c r="M89">
        <f t="shared" si="12"/>
        <v>71</v>
      </c>
      <c r="N89" s="20">
        <f t="shared" si="13"/>
        <v>3.6</v>
      </c>
      <c r="O89" s="20">
        <f t="shared" si="17"/>
        <v>0</v>
      </c>
      <c r="P89">
        <f t="shared" si="14"/>
        <v>0.7</v>
      </c>
      <c r="R89">
        <f t="shared" si="15"/>
        <v>1.3</v>
      </c>
      <c r="S89" s="4">
        <v>15000</v>
      </c>
      <c r="T89" s="4">
        <v>130</v>
      </c>
      <c r="U89" s="33">
        <f t="shared" si="16"/>
        <v>115.38461538461539</v>
      </c>
      <c r="V89" s="4">
        <v>1500</v>
      </c>
      <c r="X89" s="4">
        <v>2400</v>
      </c>
      <c r="BB89" s="4">
        <v>0.25</v>
      </c>
      <c r="BC89" s="4" t="s">
        <v>1375</v>
      </c>
      <c r="BD89" s="4" t="s">
        <v>1372</v>
      </c>
      <c r="BE89" s="4" t="s">
        <v>240</v>
      </c>
      <c r="BF89" s="4">
        <v>71</v>
      </c>
      <c r="BG89" s="4">
        <v>3.6</v>
      </c>
      <c r="BI89" s="4">
        <v>0.7</v>
      </c>
      <c r="BK89" s="4">
        <v>1.3</v>
      </c>
      <c r="BL89" s="4" t="s">
        <v>1374</v>
      </c>
      <c r="BM89" s="4" t="s">
        <v>1373</v>
      </c>
    </row>
    <row r="90" spans="4:65">
      <c r="D90" s="17" t="str">
        <f t="shared" si="11"/>
        <v>EinzelfuttermittelKatzeInnereien, TNPs, Schlachtabfälle und Tiermehle</v>
      </c>
      <c r="E90" s="4" t="s">
        <v>240</v>
      </c>
      <c r="F90" s="19" t="s">
        <v>90</v>
      </c>
      <c r="G90" s="32" t="s">
        <v>2852</v>
      </c>
      <c r="L90" s="4" t="s">
        <v>2894</v>
      </c>
      <c r="U90" s="33" t="str">
        <f t="shared" si="16"/>
        <v/>
      </c>
      <c r="AZ90" s="4">
        <v>98000</v>
      </c>
      <c r="BA90" s="4">
        <v>139</v>
      </c>
      <c r="BB90" s="4">
        <v>0.5</v>
      </c>
      <c r="BC90" s="4" t="s">
        <v>247</v>
      </c>
      <c r="BD90" s="4" t="s">
        <v>1415</v>
      </c>
      <c r="BE90" s="4" t="s">
        <v>240</v>
      </c>
      <c r="BL90" s="4" t="s">
        <v>247</v>
      </c>
      <c r="BM90" s="4" t="s">
        <v>1420</v>
      </c>
    </row>
    <row r="91" spans="4:65" ht="14.5">
      <c r="D91" s="17" t="str">
        <f t="shared" si="11"/>
        <v>EinzelfuttermittelKatzeFleisch-, Fisch- und Algenprodukte</v>
      </c>
      <c r="E91" s="4" t="s">
        <v>240</v>
      </c>
      <c r="F91" s="19" t="s">
        <v>90</v>
      </c>
      <c r="G91" s="4" t="s">
        <v>2854</v>
      </c>
      <c r="L91" s="4" t="s">
        <v>2859</v>
      </c>
      <c r="M91">
        <f t="shared" ref="M91:P92" si="18">BF91</f>
        <v>10</v>
      </c>
      <c r="N91" s="20">
        <f t="shared" si="18"/>
        <v>60</v>
      </c>
      <c r="O91" s="20">
        <f t="shared" si="18"/>
        <v>0</v>
      </c>
      <c r="P91">
        <f t="shared" si="18"/>
        <v>4.0999999999999996</v>
      </c>
      <c r="R91">
        <f>BK91</f>
        <v>0</v>
      </c>
      <c r="U91" s="33" t="str">
        <f t="shared" si="16"/>
        <v/>
      </c>
      <c r="BA91" s="4">
        <v>63.6</v>
      </c>
      <c r="BB91" s="4">
        <v>1</v>
      </c>
      <c r="BC91" s="4" t="s">
        <v>1421</v>
      </c>
      <c r="BD91" s="4" t="s">
        <v>1415</v>
      </c>
      <c r="BE91" s="4" t="s">
        <v>240</v>
      </c>
      <c r="BF91" s="4">
        <v>10</v>
      </c>
      <c r="BG91" s="4">
        <v>60</v>
      </c>
      <c r="BI91" s="4">
        <v>4.0999999999999996</v>
      </c>
      <c r="BL91" s="4" t="s">
        <v>1423</v>
      </c>
      <c r="BM91" s="4" t="s">
        <v>1422</v>
      </c>
    </row>
    <row r="92" spans="4:65" ht="14.5">
      <c r="D92" s="17" t="str">
        <f t="shared" si="11"/>
        <v>EinzelfuttermittelKatzeEi- und Milchprodukte</v>
      </c>
      <c r="E92" s="4" t="s">
        <v>240</v>
      </c>
      <c r="F92" s="19" t="s">
        <v>90</v>
      </c>
      <c r="G92" s="4" t="s">
        <v>2856</v>
      </c>
      <c r="L92" s="4" t="s">
        <v>2858</v>
      </c>
      <c r="M92">
        <f t="shared" si="18"/>
        <v>93.5</v>
      </c>
      <c r="N92" s="20">
        <f t="shared" si="18"/>
        <v>0</v>
      </c>
      <c r="O92" s="20">
        <f t="shared" si="18"/>
        <v>0</v>
      </c>
      <c r="P92">
        <f t="shared" si="18"/>
        <v>0</v>
      </c>
      <c r="R92">
        <f>BK92</f>
        <v>16.100000000000001</v>
      </c>
      <c r="S92" s="4">
        <v>37600</v>
      </c>
      <c r="T92" s="4">
        <v>950</v>
      </c>
      <c r="U92" s="33">
        <f t="shared" si="16"/>
        <v>39.578947368421055</v>
      </c>
      <c r="BA92" s="4">
        <v>23.8</v>
      </c>
      <c r="BB92" s="4">
        <v>1.5</v>
      </c>
      <c r="BC92" s="4" t="s">
        <v>1427</v>
      </c>
      <c r="BD92" s="4" t="s">
        <v>1415</v>
      </c>
      <c r="BE92" s="4" t="s">
        <v>240</v>
      </c>
      <c r="BF92" s="4">
        <v>93.5</v>
      </c>
      <c r="BK92" s="4">
        <v>16.100000000000001</v>
      </c>
      <c r="BL92" s="4" t="s">
        <v>1425</v>
      </c>
      <c r="BM92" s="4" t="s">
        <v>1426</v>
      </c>
    </row>
    <row r="93" spans="4:65" ht="14.5">
      <c r="D93" s="17" t="str">
        <f t="shared" si="11"/>
        <v>EinzelfuttermittelKatzeEi- und Milchprodukte</v>
      </c>
      <c r="E93" s="4" t="s">
        <v>240</v>
      </c>
      <c r="F93" s="19" t="s">
        <v>90</v>
      </c>
      <c r="G93" s="4" t="s">
        <v>2856</v>
      </c>
      <c r="L93" s="4" t="s">
        <v>2873</v>
      </c>
      <c r="N93" s="20">
        <f t="shared" ref="N93:P95" si="19">BG93</f>
        <v>67.400000000000006</v>
      </c>
      <c r="O93" s="20">
        <f t="shared" si="19"/>
        <v>0</v>
      </c>
      <c r="P93">
        <f t="shared" si="19"/>
        <v>0</v>
      </c>
      <c r="R93">
        <f>BK93</f>
        <v>0</v>
      </c>
      <c r="U93" s="33" t="str">
        <f t="shared" si="16"/>
        <v/>
      </c>
      <c r="BA93" s="4">
        <v>289</v>
      </c>
      <c r="BB93" s="4">
        <v>1</v>
      </c>
      <c r="BC93" s="4" t="s">
        <v>1451</v>
      </c>
      <c r="BD93" s="4" t="s">
        <v>1415</v>
      </c>
      <c r="BE93" s="4" t="s">
        <v>240</v>
      </c>
      <c r="BG93" s="4">
        <v>67.400000000000006</v>
      </c>
      <c r="BI93" s="4">
        <v>0</v>
      </c>
      <c r="BL93" s="4" t="s">
        <v>1453</v>
      </c>
      <c r="BM93" s="4" t="s">
        <v>1452</v>
      </c>
    </row>
    <row r="94" spans="4:65" ht="14.5">
      <c r="D94" s="17" t="str">
        <f t="shared" si="11"/>
        <v>EinzelfuttermittelKatzeGemüse, Obst und Faserstoffe</v>
      </c>
      <c r="E94" s="4" t="s">
        <v>240</v>
      </c>
      <c r="F94" s="19" t="s">
        <v>90</v>
      </c>
      <c r="G94" s="4" t="s">
        <v>2855</v>
      </c>
      <c r="L94" s="27" t="s">
        <v>334</v>
      </c>
      <c r="N94" s="20">
        <f t="shared" si="19"/>
        <v>5.8</v>
      </c>
      <c r="O94" s="20">
        <f t="shared" si="19"/>
        <v>0</v>
      </c>
      <c r="P94">
        <f t="shared" si="19"/>
        <v>2.1</v>
      </c>
      <c r="R94">
        <f>BK94</f>
        <v>13.3</v>
      </c>
      <c r="U94" s="33" t="str">
        <f t="shared" si="16"/>
        <v/>
      </c>
      <c r="BA94" s="4">
        <v>47.6</v>
      </c>
      <c r="BB94" s="4">
        <v>1</v>
      </c>
      <c r="BC94" s="4" t="s">
        <v>334</v>
      </c>
      <c r="BD94" s="4" t="s">
        <v>1415</v>
      </c>
      <c r="BE94" s="4" t="s">
        <v>240</v>
      </c>
      <c r="BF94" s="4">
        <v>5.9</v>
      </c>
      <c r="BG94" s="4">
        <v>5.8</v>
      </c>
      <c r="BI94" s="4">
        <v>2.1</v>
      </c>
      <c r="BK94" s="4">
        <v>13.3</v>
      </c>
      <c r="BL94" s="4" t="s">
        <v>1455</v>
      </c>
      <c r="BM94" s="4" t="s">
        <v>1454</v>
      </c>
    </row>
    <row r="95" spans="4:65" ht="14.5">
      <c r="D95" s="17" t="str">
        <f t="shared" si="11"/>
        <v>EinzelfuttermittelKatzeGemüse, Obst und Faserstoffe</v>
      </c>
      <c r="E95" s="4" t="s">
        <v>240</v>
      </c>
      <c r="F95" s="19" t="s">
        <v>90</v>
      </c>
      <c r="G95" s="32" t="s">
        <v>2855</v>
      </c>
      <c r="L95" s="4" t="s">
        <v>2875</v>
      </c>
      <c r="N95" s="20">
        <f t="shared" si="19"/>
        <v>11</v>
      </c>
      <c r="O95" s="20">
        <f t="shared" si="19"/>
        <v>0</v>
      </c>
      <c r="P95" s="4">
        <f t="shared" si="19"/>
        <v>42.7</v>
      </c>
      <c r="U95" s="33" t="str">
        <f t="shared" si="16"/>
        <v/>
      </c>
      <c r="BA95" s="4">
        <v>795</v>
      </c>
      <c r="BB95" s="4">
        <v>7.4999999999999997E-2</v>
      </c>
      <c r="BC95" s="4" t="s">
        <v>1462</v>
      </c>
      <c r="BD95" s="4" t="s">
        <v>1415</v>
      </c>
      <c r="BE95" s="4" t="s">
        <v>240</v>
      </c>
      <c r="BF95" s="4">
        <v>3.8</v>
      </c>
      <c r="BG95" s="4">
        <v>11</v>
      </c>
      <c r="BI95" s="4">
        <v>42.7</v>
      </c>
      <c r="BK95" s="4">
        <v>5.6</v>
      </c>
      <c r="BL95" s="4" t="s">
        <v>369</v>
      </c>
      <c r="BM95" s="4" t="s">
        <v>1463</v>
      </c>
    </row>
    <row r="96" spans="4:65">
      <c r="D96" s="17" t="str">
        <f t="shared" si="11"/>
        <v>EinzelfuttermittelKatzeGemüse, Obst und Faserstoffe</v>
      </c>
      <c r="E96" s="4" t="s">
        <v>240</v>
      </c>
      <c r="F96" s="19" t="s">
        <v>90</v>
      </c>
      <c r="G96" s="32" t="s">
        <v>2855</v>
      </c>
      <c r="L96" s="4" t="s">
        <v>2867</v>
      </c>
      <c r="N96" s="4">
        <f t="shared" ref="N96:N127" si="20">BG96</f>
        <v>46</v>
      </c>
      <c r="P96" s="4">
        <f t="shared" ref="P96:P127" si="21">BI96</f>
        <v>2.7</v>
      </c>
      <c r="U96" s="33" t="str">
        <f t="shared" si="16"/>
        <v/>
      </c>
      <c r="BA96" s="4">
        <v>35.6</v>
      </c>
      <c r="BB96" s="4">
        <v>0.5</v>
      </c>
      <c r="BC96" s="4" t="s">
        <v>1464</v>
      </c>
      <c r="BD96" s="4" t="s">
        <v>1415</v>
      </c>
      <c r="BE96" s="4" t="s">
        <v>240</v>
      </c>
      <c r="BF96" s="4">
        <v>8</v>
      </c>
      <c r="BG96" s="4">
        <v>46</v>
      </c>
      <c r="BI96" s="4">
        <v>2.7</v>
      </c>
      <c r="BK96" s="4">
        <v>1</v>
      </c>
      <c r="BL96" s="4" t="s">
        <v>1464</v>
      </c>
      <c r="BM96" s="4" t="s">
        <v>1465</v>
      </c>
    </row>
    <row r="97" spans="4:65">
      <c r="D97" s="17" t="str">
        <f t="shared" si="11"/>
        <v>EinzelfuttermittelKatzeFleisch-, Fisch- und Algenprodukte</v>
      </c>
      <c r="E97" s="4" t="s">
        <v>240</v>
      </c>
      <c r="F97" s="19" t="s">
        <v>90</v>
      </c>
      <c r="G97" s="4" t="s">
        <v>2854</v>
      </c>
      <c r="L97" s="4" t="s">
        <v>2876</v>
      </c>
      <c r="N97" s="4">
        <f t="shared" si="20"/>
        <v>66</v>
      </c>
      <c r="P97" s="4">
        <f t="shared" si="21"/>
        <v>7.5</v>
      </c>
      <c r="U97" s="33" t="str">
        <f t="shared" si="16"/>
        <v/>
      </c>
      <c r="BA97" s="4">
        <v>53</v>
      </c>
      <c r="BB97" s="4">
        <v>1</v>
      </c>
      <c r="BC97" s="4" t="s">
        <v>1471</v>
      </c>
      <c r="BD97" s="4" t="s">
        <v>1415</v>
      </c>
      <c r="BE97" s="4" t="s">
        <v>240</v>
      </c>
      <c r="BF97" s="4">
        <v>19</v>
      </c>
      <c r="BG97" s="4">
        <v>66</v>
      </c>
      <c r="BI97" s="4">
        <v>7.5</v>
      </c>
      <c r="BL97" s="4" t="s">
        <v>1469</v>
      </c>
      <c r="BM97" s="4" t="s">
        <v>1470</v>
      </c>
    </row>
    <row r="98" spans="4:65">
      <c r="D98" s="17" t="str">
        <f t="shared" si="11"/>
        <v>EinzelfuttermittelKatzeGemüse, Obst und Faserstoffe</v>
      </c>
      <c r="E98" s="4" t="s">
        <v>240</v>
      </c>
      <c r="F98" s="19" t="s">
        <v>90</v>
      </c>
      <c r="G98" s="4" t="s">
        <v>2855</v>
      </c>
      <c r="L98" s="4" t="s">
        <v>2868</v>
      </c>
      <c r="N98" s="4">
        <f t="shared" si="20"/>
        <v>0</v>
      </c>
      <c r="P98" s="4">
        <f t="shared" si="21"/>
        <v>0</v>
      </c>
      <c r="U98" s="33" t="str">
        <f t="shared" si="16"/>
        <v/>
      </c>
      <c r="BA98" s="4">
        <v>126.82</v>
      </c>
      <c r="BB98" s="4">
        <v>10</v>
      </c>
      <c r="BC98" s="4" t="s">
        <v>315</v>
      </c>
      <c r="BD98" s="4" t="s">
        <v>1415</v>
      </c>
      <c r="BE98" s="4" t="s">
        <v>240</v>
      </c>
      <c r="BF98" s="4">
        <v>0</v>
      </c>
      <c r="BG98" s="4">
        <v>0</v>
      </c>
      <c r="BI98" s="4">
        <v>0</v>
      </c>
      <c r="BK98" s="4">
        <v>32.9</v>
      </c>
      <c r="BL98" s="4" t="s">
        <v>316</v>
      </c>
      <c r="BM98" s="4" t="s">
        <v>1472</v>
      </c>
    </row>
    <row r="99" spans="4:65">
      <c r="D99" s="17" t="str">
        <f t="shared" si="11"/>
        <v>EinzelfuttermittelKatzeMineralstoffe</v>
      </c>
      <c r="E99" s="4" t="s">
        <v>240</v>
      </c>
      <c r="F99" s="19" t="s">
        <v>90</v>
      </c>
      <c r="G99" s="32" t="s">
        <v>437</v>
      </c>
      <c r="L99" s="4" t="s">
        <v>3215</v>
      </c>
      <c r="N99" s="4">
        <f t="shared" si="20"/>
        <v>0</v>
      </c>
      <c r="P99" s="4">
        <f t="shared" si="21"/>
        <v>0</v>
      </c>
      <c r="U99" s="33" t="str">
        <f t="shared" si="16"/>
        <v/>
      </c>
      <c r="BA99" s="4">
        <v>278</v>
      </c>
      <c r="BB99" s="4">
        <v>0.3</v>
      </c>
      <c r="BC99" s="4" t="s">
        <v>1482</v>
      </c>
      <c r="BD99" s="4" t="s">
        <v>1415</v>
      </c>
      <c r="BE99" s="4" t="s">
        <v>240</v>
      </c>
      <c r="BG99" s="4">
        <v>0</v>
      </c>
      <c r="BI99" s="4">
        <v>0</v>
      </c>
      <c r="BL99" s="4" t="s">
        <v>1481</v>
      </c>
      <c r="BM99" s="4" t="s">
        <v>1480</v>
      </c>
    </row>
    <row r="100" spans="4:65">
      <c r="D100" s="17" t="str">
        <f t="shared" ref="D100:D131" si="22">E100&amp;""&amp;F100&amp;""&amp;G100&amp;""&amp;H100</f>
        <v>EinzelfuttermittelKatzeGetreide, Samen, Leguminosen und Kartoffel-Produkte</v>
      </c>
      <c r="E100" s="4" t="s">
        <v>240</v>
      </c>
      <c r="F100" s="19" t="s">
        <v>90</v>
      </c>
      <c r="G100" s="4" t="s">
        <v>2857</v>
      </c>
      <c r="L100" s="4" t="s">
        <v>2866</v>
      </c>
      <c r="N100" s="4">
        <f t="shared" si="20"/>
        <v>2.8</v>
      </c>
      <c r="P100" s="4">
        <f t="shared" si="21"/>
        <v>0.3</v>
      </c>
      <c r="U100" s="33" t="str">
        <f t="shared" si="16"/>
        <v/>
      </c>
      <c r="BA100" s="4">
        <v>25.9</v>
      </c>
      <c r="BB100" s="4">
        <v>1</v>
      </c>
      <c r="BC100" s="4" t="s">
        <v>1486</v>
      </c>
      <c r="BD100" s="4" t="s">
        <v>1415</v>
      </c>
      <c r="BE100" s="4" t="s">
        <v>240</v>
      </c>
      <c r="BF100" s="4">
        <v>2.8</v>
      </c>
      <c r="BG100" s="4">
        <v>2.8</v>
      </c>
      <c r="BI100" s="4">
        <v>0.3</v>
      </c>
      <c r="BK100" s="4">
        <v>3.2</v>
      </c>
      <c r="BL100" s="4" t="s">
        <v>1488</v>
      </c>
      <c r="BM100" s="4" t="s">
        <v>1487</v>
      </c>
    </row>
    <row r="101" spans="4:65">
      <c r="D101" s="17" t="str">
        <f t="shared" si="22"/>
        <v>EinzelfuttermittelKatzeGetreide, Samen, Leguminosen und Kartoffel-Produkte</v>
      </c>
      <c r="E101" s="4" t="s">
        <v>240</v>
      </c>
      <c r="F101" s="19" t="s">
        <v>90</v>
      </c>
      <c r="G101" s="4" t="s">
        <v>2857</v>
      </c>
      <c r="L101" s="4" t="s">
        <v>2866</v>
      </c>
      <c r="N101" s="4">
        <f t="shared" si="20"/>
        <v>2.2000000000000002</v>
      </c>
      <c r="P101" s="4">
        <f t="shared" si="21"/>
        <v>0.5</v>
      </c>
      <c r="U101" s="33" t="str">
        <f t="shared" si="16"/>
        <v/>
      </c>
      <c r="BA101" s="4">
        <v>22.9</v>
      </c>
      <c r="BC101" s="4" t="s">
        <v>321</v>
      </c>
      <c r="BD101" s="4" t="s">
        <v>1415</v>
      </c>
      <c r="BE101" s="4" t="s">
        <v>240</v>
      </c>
      <c r="BF101" s="4">
        <v>3.4</v>
      </c>
      <c r="BG101" s="4">
        <v>2.2000000000000002</v>
      </c>
      <c r="BI101" s="4">
        <v>0.5</v>
      </c>
      <c r="BK101" s="4">
        <v>3.2</v>
      </c>
      <c r="BL101" s="4" t="s">
        <v>1489</v>
      </c>
      <c r="BM101" s="4" t="s">
        <v>1490</v>
      </c>
    </row>
    <row r="102" spans="4:65">
      <c r="D102" s="17" t="str">
        <f t="shared" si="22"/>
        <v>EinzelfuttermittelKatzeGemüse, Obst und Faserstoffe</v>
      </c>
      <c r="E102" s="4" t="s">
        <v>240</v>
      </c>
      <c r="F102" s="19" t="s">
        <v>90</v>
      </c>
      <c r="G102" s="4" t="s">
        <v>2855</v>
      </c>
      <c r="L102" s="27" t="s">
        <v>3264</v>
      </c>
      <c r="N102" s="4">
        <f t="shared" si="20"/>
        <v>66</v>
      </c>
      <c r="P102" s="4">
        <f t="shared" si="21"/>
        <v>8</v>
      </c>
      <c r="U102" s="33" t="str">
        <f t="shared" si="16"/>
        <v/>
      </c>
      <c r="BA102" s="4">
        <v>28.9</v>
      </c>
      <c r="BB102" s="4">
        <v>0.5</v>
      </c>
      <c r="BC102" s="4" t="s">
        <v>1500</v>
      </c>
      <c r="BD102" s="4" t="s">
        <v>1415</v>
      </c>
      <c r="BE102" s="4" t="s">
        <v>240</v>
      </c>
      <c r="BF102" s="4">
        <v>6.9</v>
      </c>
      <c r="BG102" s="4">
        <v>66</v>
      </c>
      <c r="BI102" s="4">
        <v>8</v>
      </c>
      <c r="BK102" s="4">
        <v>0.5</v>
      </c>
      <c r="BL102" s="4" t="s">
        <v>1502</v>
      </c>
      <c r="BM102" s="4" t="s">
        <v>1501</v>
      </c>
    </row>
    <row r="103" spans="4:65">
      <c r="D103" s="17" t="str">
        <f t="shared" si="22"/>
        <v>EinzelfuttermittelKatzeEi- und Milchprodukte</v>
      </c>
      <c r="E103" s="4" t="s">
        <v>240</v>
      </c>
      <c r="F103" s="19" t="s">
        <v>90</v>
      </c>
      <c r="G103" s="32" t="s">
        <v>2856</v>
      </c>
      <c r="L103" s="4" t="s">
        <v>1534</v>
      </c>
      <c r="M103" s="4">
        <f t="shared" ref="M103:M134" si="23">BF103</f>
        <v>0.4</v>
      </c>
      <c r="N103" s="4">
        <f t="shared" si="20"/>
        <v>0.3</v>
      </c>
      <c r="P103" s="4">
        <f t="shared" si="21"/>
        <v>0.3</v>
      </c>
      <c r="R103" s="4">
        <f t="shared" ref="R103:R134" si="24">BK103</f>
        <v>0.5</v>
      </c>
      <c r="U103" s="33" t="str">
        <f t="shared" si="16"/>
        <v/>
      </c>
      <c r="BC103" s="4" t="s">
        <v>1532</v>
      </c>
      <c r="BD103" s="4" t="s">
        <v>1513</v>
      </c>
      <c r="BE103" s="4" t="s">
        <v>240</v>
      </c>
      <c r="BF103" s="4">
        <v>0.4</v>
      </c>
      <c r="BG103" s="4">
        <v>0.3</v>
      </c>
      <c r="BI103" s="4">
        <v>0.3</v>
      </c>
      <c r="BK103" s="4">
        <v>0.5</v>
      </c>
      <c r="BL103" s="4" t="s">
        <v>1534</v>
      </c>
      <c r="BM103" s="4" t="s">
        <v>1533</v>
      </c>
    </row>
    <row r="104" spans="4:65">
      <c r="D104" s="17" t="str">
        <f t="shared" si="22"/>
        <v>EinzelfuttermittelKatzeMineralstoffe</v>
      </c>
      <c r="E104" s="4" t="s">
        <v>240</v>
      </c>
      <c r="F104" s="19" t="s">
        <v>90</v>
      </c>
      <c r="G104" s="4" t="s">
        <v>437</v>
      </c>
      <c r="L104" s="4" t="s">
        <v>1038</v>
      </c>
      <c r="M104" s="4">
        <f t="shared" si="23"/>
        <v>0</v>
      </c>
      <c r="N104" s="4">
        <f t="shared" si="20"/>
        <v>0</v>
      </c>
      <c r="P104" s="4">
        <f t="shared" si="21"/>
        <v>0</v>
      </c>
      <c r="R104" s="4">
        <f t="shared" si="24"/>
        <v>0</v>
      </c>
      <c r="U104" s="33" t="str">
        <f t="shared" si="16"/>
        <v/>
      </c>
      <c r="BA104" s="4">
        <v>13.98</v>
      </c>
      <c r="BC104" s="4" t="s">
        <v>1038</v>
      </c>
      <c r="BD104" s="4" t="s">
        <v>1581</v>
      </c>
      <c r="BE104" s="4" t="s">
        <v>240</v>
      </c>
      <c r="BL104" s="4" t="s">
        <v>1038</v>
      </c>
      <c r="BM104" s="4" t="s">
        <v>1582</v>
      </c>
    </row>
    <row r="105" spans="4:65">
      <c r="D105" s="17" t="str">
        <f t="shared" si="22"/>
        <v>EinzelfuttermittelKatzeEi- und Milchprodukte</v>
      </c>
      <c r="E105" s="4" t="s">
        <v>240</v>
      </c>
      <c r="F105" s="19" t="s">
        <v>90</v>
      </c>
      <c r="G105" s="4" t="s">
        <v>2856</v>
      </c>
      <c r="L105" s="4" t="s">
        <v>2858</v>
      </c>
      <c r="M105" s="4">
        <f t="shared" si="23"/>
        <v>95.9</v>
      </c>
      <c r="N105" s="4">
        <f t="shared" si="20"/>
        <v>0</v>
      </c>
      <c r="P105" s="4">
        <f t="shared" si="21"/>
        <v>0</v>
      </c>
      <c r="R105" s="4">
        <f t="shared" si="24"/>
        <v>0</v>
      </c>
      <c r="S105" s="4">
        <v>37100</v>
      </c>
      <c r="T105" s="4">
        <v>100</v>
      </c>
      <c r="U105" s="33">
        <f t="shared" si="16"/>
        <v>371</v>
      </c>
      <c r="V105" s="4">
        <v>300</v>
      </c>
      <c r="W105" s="4">
        <v>83</v>
      </c>
      <c r="X105" s="4">
        <v>140</v>
      </c>
      <c r="Y105" s="4">
        <v>40</v>
      </c>
      <c r="Z105" s="4">
        <v>0.4</v>
      </c>
      <c r="AB105" s="4">
        <v>1.07</v>
      </c>
      <c r="BA105" s="4">
        <v>21.98</v>
      </c>
      <c r="BC105" s="4" t="s">
        <v>1424</v>
      </c>
      <c r="BD105" s="4" t="s">
        <v>1581</v>
      </c>
      <c r="BE105" s="4" t="s">
        <v>240</v>
      </c>
      <c r="BF105" s="4">
        <v>95.9</v>
      </c>
      <c r="BL105" s="4" t="s">
        <v>1584</v>
      </c>
      <c r="BM105" s="4" t="s">
        <v>1583</v>
      </c>
    </row>
    <row r="106" spans="4:65">
      <c r="D106" s="17" t="str">
        <f t="shared" si="22"/>
        <v>EinzelfuttermittelKatzeMineralstoffe</v>
      </c>
      <c r="E106" s="4" t="s">
        <v>240</v>
      </c>
      <c r="F106" s="19" t="s">
        <v>90</v>
      </c>
      <c r="G106" s="4" t="s">
        <v>437</v>
      </c>
      <c r="L106" s="4" t="s">
        <v>480</v>
      </c>
      <c r="M106" s="4">
        <f t="shared" si="23"/>
        <v>0</v>
      </c>
      <c r="N106" s="4">
        <f t="shared" si="20"/>
        <v>0</v>
      </c>
      <c r="P106" s="4">
        <f t="shared" si="21"/>
        <v>0</v>
      </c>
      <c r="R106" s="4">
        <f t="shared" si="24"/>
        <v>0</v>
      </c>
      <c r="S106" s="4">
        <v>27000</v>
      </c>
      <c r="T106" s="4">
        <v>18000</v>
      </c>
      <c r="U106" s="33">
        <f t="shared" si="16"/>
        <v>1.5</v>
      </c>
      <c r="X106" s="4">
        <v>1000</v>
      </c>
      <c r="BA106" s="4">
        <v>17.98</v>
      </c>
      <c r="BC106" s="4" t="s">
        <v>480</v>
      </c>
      <c r="BD106" s="4" t="s">
        <v>1581</v>
      </c>
      <c r="BE106" s="4" t="s">
        <v>240</v>
      </c>
      <c r="BL106" s="4" t="s">
        <v>480</v>
      </c>
      <c r="BM106" s="4" t="s">
        <v>1585</v>
      </c>
    </row>
    <row r="107" spans="4:65">
      <c r="D107" s="17" t="str">
        <f t="shared" si="22"/>
        <v>EinzelfuttermittelKatzeMineralstoffe</v>
      </c>
      <c r="E107" s="4" t="s">
        <v>240</v>
      </c>
      <c r="F107" s="19" t="s">
        <v>90</v>
      </c>
      <c r="G107" s="4" t="s">
        <v>437</v>
      </c>
      <c r="L107" s="4" t="s">
        <v>1038</v>
      </c>
      <c r="M107" s="4">
        <f t="shared" si="23"/>
        <v>0</v>
      </c>
      <c r="N107" s="4">
        <f t="shared" si="20"/>
        <v>0</v>
      </c>
      <c r="P107" s="4">
        <f t="shared" si="21"/>
        <v>0</v>
      </c>
      <c r="R107" s="4">
        <f t="shared" si="24"/>
        <v>0</v>
      </c>
      <c r="S107" s="4">
        <v>40000</v>
      </c>
      <c r="T107" s="4">
        <v>1</v>
      </c>
      <c r="U107" s="33">
        <f t="shared" si="16"/>
        <v>40000</v>
      </c>
      <c r="BA107" s="4">
        <v>18.170000000000002</v>
      </c>
      <c r="BC107" s="4" t="s">
        <v>1038</v>
      </c>
      <c r="BD107" s="4" t="s">
        <v>442</v>
      </c>
      <c r="BE107" s="4" t="s">
        <v>240</v>
      </c>
      <c r="BL107" s="4" t="s">
        <v>1038</v>
      </c>
      <c r="BM107" s="4" t="s">
        <v>1586</v>
      </c>
    </row>
    <row r="108" spans="4:65">
      <c r="D108" s="17" t="str">
        <f t="shared" si="22"/>
        <v>EinzelfuttermittelKatzeInnereien, TNPs, Schlachtabfälle und Tiermehle</v>
      </c>
      <c r="E108" s="4" t="s">
        <v>240</v>
      </c>
      <c r="F108" s="19" t="s">
        <v>90</v>
      </c>
      <c r="G108" s="4" t="s">
        <v>2852</v>
      </c>
      <c r="L108" s="4" t="s">
        <v>2874</v>
      </c>
      <c r="M108" s="4">
        <f t="shared" si="23"/>
        <v>50</v>
      </c>
      <c r="N108" s="4">
        <f t="shared" si="20"/>
        <v>37</v>
      </c>
      <c r="P108" s="4">
        <f t="shared" si="21"/>
        <v>10</v>
      </c>
      <c r="R108" s="4">
        <f t="shared" si="24"/>
        <v>0</v>
      </c>
      <c r="S108" s="4">
        <v>18000</v>
      </c>
      <c r="T108" s="4">
        <v>8000</v>
      </c>
      <c r="U108" s="33">
        <f t="shared" si="16"/>
        <v>2.25</v>
      </c>
      <c r="BA108" s="4">
        <v>25.69</v>
      </c>
      <c r="BB108" s="4">
        <v>2.7</v>
      </c>
      <c r="BC108" s="4" t="s">
        <v>1587</v>
      </c>
      <c r="BD108" s="4" t="s">
        <v>1581</v>
      </c>
      <c r="BE108" s="4" t="s">
        <v>240</v>
      </c>
      <c r="BF108" s="4">
        <v>50</v>
      </c>
      <c r="BG108" s="4">
        <v>37</v>
      </c>
      <c r="BI108" s="4">
        <v>10</v>
      </c>
      <c r="BL108" s="4" t="s">
        <v>1589</v>
      </c>
      <c r="BM108" s="4" t="s">
        <v>1588</v>
      </c>
    </row>
    <row r="109" spans="4:65">
      <c r="D109" s="17" t="str">
        <f t="shared" si="22"/>
        <v>EinzelfuttermittelKatzeInnereien, TNPs, Schlachtabfälle und Tiermehle</v>
      </c>
      <c r="E109" s="4" t="s">
        <v>240</v>
      </c>
      <c r="F109" s="19" t="s">
        <v>90</v>
      </c>
      <c r="G109" s="4" t="s">
        <v>2852</v>
      </c>
      <c r="L109" s="4" t="s">
        <v>2874</v>
      </c>
      <c r="M109" s="4">
        <f t="shared" si="23"/>
        <v>40</v>
      </c>
      <c r="N109" s="4">
        <f t="shared" si="20"/>
        <v>42</v>
      </c>
      <c r="P109" s="4">
        <f t="shared" si="21"/>
        <v>10</v>
      </c>
      <c r="R109" s="4">
        <f t="shared" si="24"/>
        <v>0</v>
      </c>
      <c r="S109" s="4">
        <v>16000</v>
      </c>
      <c r="T109" s="4">
        <v>7000</v>
      </c>
      <c r="U109" s="33">
        <f t="shared" si="16"/>
        <v>2.2857142857142856</v>
      </c>
      <c r="BA109" s="4">
        <v>28.54</v>
      </c>
      <c r="BB109" s="4">
        <v>2.7</v>
      </c>
      <c r="BC109" s="4" t="s">
        <v>1590</v>
      </c>
      <c r="BD109" s="4" t="s">
        <v>1581</v>
      </c>
      <c r="BE109" s="4" t="s">
        <v>240</v>
      </c>
      <c r="BF109" s="4">
        <v>40</v>
      </c>
      <c r="BG109" s="4">
        <v>42</v>
      </c>
      <c r="BI109" s="4">
        <v>10</v>
      </c>
      <c r="BL109" s="4" t="s">
        <v>1592</v>
      </c>
      <c r="BM109" s="4" t="s">
        <v>1591</v>
      </c>
    </row>
    <row r="110" spans="4:65">
      <c r="D110" s="17" t="str">
        <f t="shared" si="22"/>
        <v>EinzelfuttermittelKatzeInnereien, TNPs, Schlachtabfälle und Tiermehle</v>
      </c>
      <c r="E110" s="4" t="s">
        <v>240</v>
      </c>
      <c r="F110" s="19" t="s">
        <v>90</v>
      </c>
      <c r="G110" s="4" t="s">
        <v>2852</v>
      </c>
      <c r="L110" s="4" t="s">
        <v>2874</v>
      </c>
      <c r="M110" s="4">
        <f t="shared" si="23"/>
        <v>31.6</v>
      </c>
      <c r="N110" s="4">
        <f t="shared" si="20"/>
        <v>54</v>
      </c>
      <c r="P110" s="4">
        <f t="shared" si="21"/>
        <v>10.199999999999999</v>
      </c>
      <c r="R110" s="4">
        <f t="shared" si="24"/>
        <v>0</v>
      </c>
      <c r="S110" s="4">
        <v>14000</v>
      </c>
      <c r="T110" s="4">
        <v>6300</v>
      </c>
      <c r="U110" s="33">
        <f t="shared" si="16"/>
        <v>2.2222222222222223</v>
      </c>
      <c r="BA110" s="4">
        <v>21.24</v>
      </c>
      <c r="BB110" s="4">
        <v>2.7</v>
      </c>
      <c r="BC110" s="4" t="s">
        <v>1593</v>
      </c>
      <c r="BD110" s="4" t="s">
        <v>1581</v>
      </c>
      <c r="BE110" s="4" t="s">
        <v>240</v>
      </c>
      <c r="BF110" s="4">
        <v>31.6</v>
      </c>
      <c r="BG110" s="4">
        <v>54</v>
      </c>
      <c r="BI110" s="4">
        <v>10.199999999999999</v>
      </c>
      <c r="BL110" s="4" t="s">
        <v>1595</v>
      </c>
      <c r="BM110" s="4" t="s">
        <v>1594</v>
      </c>
    </row>
    <row r="111" spans="4:65">
      <c r="D111" s="17" t="str">
        <f t="shared" si="22"/>
        <v>EinzelfuttermittelKatzeInnereien, TNPs, Schlachtabfälle und Tiermehle</v>
      </c>
      <c r="E111" s="4" t="s">
        <v>240</v>
      </c>
      <c r="F111" s="19" t="s">
        <v>90</v>
      </c>
      <c r="G111" s="4" t="s">
        <v>2852</v>
      </c>
      <c r="L111" s="4" t="s">
        <v>2874</v>
      </c>
      <c r="M111" s="4">
        <f t="shared" si="23"/>
        <v>51.4</v>
      </c>
      <c r="N111" s="4">
        <f t="shared" si="20"/>
        <v>33.799999999999997</v>
      </c>
      <c r="P111" s="4">
        <f t="shared" si="21"/>
        <v>13.3</v>
      </c>
      <c r="R111" s="4">
        <f t="shared" si="24"/>
        <v>0</v>
      </c>
      <c r="S111" s="4">
        <v>29900</v>
      </c>
      <c r="T111" s="4">
        <v>17100</v>
      </c>
      <c r="U111" s="33">
        <f t="shared" si="16"/>
        <v>1.7485380116959064</v>
      </c>
      <c r="V111" s="4">
        <v>1200</v>
      </c>
      <c r="BA111" s="4">
        <v>35.96</v>
      </c>
      <c r="BB111" s="4">
        <v>1.3</v>
      </c>
      <c r="BC111" s="4" t="s">
        <v>1596</v>
      </c>
      <c r="BD111" s="4" t="s">
        <v>1581</v>
      </c>
      <c r="BE111" s="4" t="s">
        <v>240</v>
      </c>
      <c r="BF111" s="4">
        <v>51.4</v>
      </c>
      <c r="BG111" s="4">
        <v>33.799999999999997</v>
      </c>
      <c r="BI111" s="4">
        <v>13.3</v>
      </c>
      <c r="BL111" s="4" t="s">
        <v>1598</v>
      </c>
      <c r="BM111" s="4" t="s">
        <v>1597</v>
      </c>
    </row>
    <row r="112" spans="4:65">
      <c r="D112" s="17" t="str">
        <f t="shared" si="22"/>
        <v>EinzelfuttermittelKatzeInnereien, TNPs, Schlachtabfälle und Tiermehle</v>
      </c>
      <c r="E112" s="4" t="s">
        <v>240</v>
      </c>
      <c r="F112" s="19" t="s">
        <v>90</v>
      </c>
      <c r="G112" s="4" t="s">
        <v>2852</v>
      </c>
      <c r="L112" s="4" t="s">
        <v>2874</v>
      </c>
      <c r="M112" s="4">
        <f t="shared" si="23"/>
        <v>23</v>
      </c>
      <c r="N112" s="4">
        <f t="shared" si="20"/>
        <v>60</v>
      </c>
      <c r="P112" s="4">
        <f t="shared" si="21"/>
        <v>14</v>
      </c>
      <c r="R112" s="4">
        <f t="shared" si="24"/>
        <v>0</v>
      </c>
      <c r="S112" s="4">
        <v>14100</v>
      </c>
      <c r="T112" s="4">
        <v>7000</v>
      </c>
      <c r="U112" s="33">
        <f t="shared" si="16"/>
        <v>2.0142857142857142</v>
      </c>
      <c r="BA112" s="4">
        <v>35.96</v>
      </c>
      <c r="BB112" s="4">
        <v>1.3</v>
      </c>
      <c r="BC112" s="4" t="s">
        <v>1599</v>
      </c>
      <c r="BD112" s="4" t="s">
        <v>1581</v>
      </c>
      <c r="BE112" s="4" t="s">
        <v>240</v>
      </c>
      <c r="BF112" s="4">
        <v>23</v>
      </c>
      <c r="BG112" s="4">
        <v>60</v>
      </c>
      <c r="BI112" s="4">
        <v>14</v>
      </c>
      <c r="BL112" s="4" t="s">
        <v>1602</v>
      </c>
      <c r="BM112" s="4" t="s">
        <v>1601</v>
      </c>
    </row>
    <row r="113" spans="4:65">
      <c r="D113" s="17" t="str">
        <f t="shared" si="22"/>
        <v>EinzelfuttermittelKatzeInnereien, TNPs, Schlachtabfälle und Tiermehle</v>
      </c>
      <c r="E113" s="4" t="s">
        <v>240</v>
      </c>
      <c r="F113" s="19" t="s">
        <v>90</v>
      </c>
      <c r="G113" s="4" t="s">
        <v>2852</v>
      </c>
      <c r="L113" s="4" t="s">
        <v>2874</v>
      </c>
      <c r="M113" s="4">
        <f t="shared" si="23"/>
        <v>53</v>
      </c>
      <c r="N113" s="4">
        <f t="shared" si="20"/>
        <v>27.2</v>
      </c>
      <c r="P113" s="4">
        <f t="shared" si="21"/>
        <v>12.3</v>
      </c>
      <c r="R113" s="4">
        <f t="shared" si="24"/>
        <v>0</v>
      </c>
      <c r="S113" s="4">
        <v>17800</v>
      </c>
      <c r="T113" s="4">
        <v>18100</v>
      </c>
      <c r="U113" s="33">
        <f t="shared" si="16"/>
        <v>0.98342541436464093</v>
      </c>
      <c r="BA113" s="4">
        <v>35.96</v>
      </c>
      <c r="BB113" s="4">
        <v>0.8</v>
      </c>
      <c r="BC113" s="4" t="s">
        <v>1600</v>
      </c>
      <c r="BD113" s="4" t="s">
        <v>1581</v>
      </c>
      <c r="BE113" s="4" t="s">
        <v>240</v>
      </c>
      <c r="BF113" s="4">
        <v>53</v>
      </c>
      <c r="BG113" s="4">
        <v>27.2</v>
      </c>
      <c r="BI113" s="4">
        <v>12.3</v>
      </c>
      <c r="BL113" s="4" t="s">
        <v>1604</v>
      </c>
      <c r="BM113" s="4" t="s">
        <v>1603</v>
      </c>
    </row>
    <row r="114" spans="4:65">
      <c r="D114" s="17" t="str">
        <f t="shared" si="22"/>
        <v>EinzelfuttermittelKatzeInnereien, TNPs, Schlachtabfälle und Tiermehle</v>
      </c>
      <c r="E114" s="4" t="s">
        <v>240</v>
      </c>
      <c r="F114" s="19" t="s">
        <v>90</v>
      </c>
      <c r="G114" s="4" t="s">
        <v>2852</v>
      </c>
      <c r="L114" s="4" t="s">
        <v>2874</v>
      </c>
      <c r="M114" s="4">
        <f t="shared" si="23"/>
        <v>36</v>
      </c>
      <c r="N114" s="4">
        <f t="shared" si="20"/>
        <v>45</v>
      </c>
      <c r="P114" s="4">
        <f t="shared" si="21"/>
        <v>15</v>
      </c>
      <c r="R114" s="4">
        <f t="shared" si="24"/>
        <v>0</v>
      </c>
      <c r="S114" s="4">
        <v>12000</v>
      </c>
      <c r="T114" s="4">
        <v>5000</v>
      </c>
      <c r="U114" s="33">
        <f t="shared" si="16"/>
        <v>2.4</v>
      </c>
      <c r="BA114" s="4">
        <v>28.54</v>
      </c>
      <c r="BB114" s="4">
        <v>0.8</v>
      </c>
      <c r="BC114" s="4" t="s">
        <v>1605</v>
      </c>
      <c r="BD114" s="4" t="s">
        <v>1581</v>
      </c>
      <c r="BE114" s="4" t="s">
        <v>240</v>
      </c>
      <c r="BF114" s="4">
        <v>36</v>
      </c>
      <c r="BG114" s="4">
        <v>45</v>
      </c>
      <c r="BI114" s="4">
        <v>15</v>
      </c>
      <c r="BL114" s="4" t="s">
        <v>1607</v>
      </c>
      <c r="BM114" s="4" t="s">
        <v>1606</v>
      </c>
    </row>
    <row r="115" spans="4:65">
      <c r="D115" s="17" t="str">
        <f t="shared" si="22"/>
        <v>EinzelfuttermittelKatzeInnereien, TNPs, Schlachtabfälle und Tiermehle</v>
      </c>
      <c r="E115" s="4" t="s">
        <v>240</v>
      </c>
      <c r="F115" s="19" t="s">
        <v>90</v>
      </c>
      <c r="G115" s="4" t="s">
        <v>2852</v>
      </c>
      <c r="L115" s="4" t="s">
        <v>2901</v>
      </c>
      <c r="M115" s="4">
        <f t="shared" si="23"/>
        <v>52</v>
      </c>
      <c r="N115" s="4">
        <f t="shared" si="20"/>
        <v>38</v>
      </c>
      <c r="P115" s="4">
        <f t="shared" si="21"/>
        <v>0.2</v>
      </c>
      <c r="R115" s="4">
        <f t="shared" si="24"/>
        <v>0.6</v>
      </c>
      <c r="S115" s="4">
        <v>20000</v>
      </c>
      <c r="T115" s="4">
        <v>10000</v>
      </c>
      <c r="U115" s="33">
        <f t="shared" si="16"/>
        <v>2</v>
      </c>
      <c r="V115" s="4">
        <v>440</v>
      </c>
      <c r="W115" s="4">
        <v>50</v>
      </c>
      <c r="X115" s="4">
        <v>500</v>
      </c>
      <c r="Z115" s="4">
        <v>7</v>
      </c>
      <c r="BA115" s="4">
        <v>75.959999999999994</v>
      </c>
      <c r="BC115" s="4" t="s">
        <v>1608</v>
      </c>
      <c r="BD115" s="4" t="s">
        <v>1581</v>
      </c>
      <c r="BE115" s="4" t="s">
        <v>240</v>
      </c>
      <c r="BF115" s="4">
        <v>52</v>
      </c>
      <c r="BG115" s="4">
        <v>38</v>
      </c>
      <c r="BI115" s="4">
        <v>0.2</v>
      </c>
      <c r="BK115" s="4">
        <v>0.6</v>
      </c>
      <c r="BL115" s="4" t="s">
        <v>1609</v>
      </c>
      <c r="BM115" s="4" t="s">
        <v>1610</v>
      </c>
    </row>
    <row r="116" spans="4:65">
      <c r="D116" s="17" t="str">
        <f t="shared" si="22"/>
        <v>EinzelfuttermittelKatzeFleisch-, Fisch- und Algenprodukte</v>
      </c>
      <c r="E116" s="4" t="s">
        <v>240</v>
      </c>
      <c r="F116" s="19" t="s">
        <v>90</v>
      </c>
      <c r="G116" s="4" t="s">
        <v>2854</v>
      </c>
      <c r="L116" s="4" t="s">
        <v>2860</v>
      </c>
      <c r="M116" s="4">
        <f t="shared" si="23"/>
        <v>0</v>
      </c>
      <c r="N116" s="4">
        <f t="shared" si="20"/>
        <v>0</v>
      </c>
      <c r="P116" s="4">
        <f t="shared" si="21"/>
        <v>0</v>
      </c>
      <c r="R116" s="4">
        <f t="shared" si="24"/>
        <v>0</v>
      </c>
      <c r="S116" s="4">
        <v>34000</v>
      </c>
      <c r="T116" s="4">
        <v>1700</v>
      </c>
      <c r="U116" s="33">
        <f t="shared" si="16"/>
        <v>20</v>
      </c>
      <c r="BA116" s="4">
        <v>19.98</v>
      </c>
      <c r="BC116" s="4" t="s">
        <v>473</v>
      </c>
      <c r="BD116" s="4" t="s">
        <v>1581</v>
      </c>
      <c r="BE116" s="4" t="s">
        <v>240</v>
      </c>
      <c r="BL116" s="4" t="s">
        <v>473</v>
      </c>
      <c r="BM116" s="4" t="s">
        <v>1611</v>
      </c>
    </row>
    <row r="117" spans="4:65">
      <c r="D117" s="17" t="str">
        <f t="shared" si="22"/>
        <v>EinzelfuttermittelKatzeGemüse, Obst und Faserstoffe</v>
      </c>
      <c r="E117" s="4" t="s">
        <v>240</v>
      </c>
      <c r="F117" s="19" t="s">
        <v>90</v>
      </c>
      <c r="G117" s="32" t="s">
        <v>2855</v>
      </c>
      <c r="L117" s="4" t="s">
        <v>2867</v>
      </c>
      <c r="M117" s="4">
        <f t="shared" si="23"/>
        <v>6.5</v>
      </c>
      <c r="N117" s="4">
        <f t="shared" si="20"/>
        <v>45.8</v>
      </c>
      <c r="P117" s="4">
        <f t="shared" si="21"/>
        <v>2.1</v>
      </c>
      <c r="R117" s="4">
        <f t="shared" si="24"/>
        <v>0.4</v>
      </c>
      <c r="S117" s="4">
        <v>300</v>
      </c>
      <c r="T117" s="4">
        <v>1500</v>
      </c>
      <c r="U117" s="33">
        <f t="shared" si="16"/>
        <v>0.2</v>
      </c>
      <c r="V117" s="4">
        <v>200</v>
      </c>
      <c r="W117" s="4">
        <v>2110</v>
      </c>
      <c r="X117" s="4">
        <v>59</v>
      </c>
      <c r="Z117" s="4">
        <v>8.2100000000000009</v>
      </c>
      <c r="AA117" s="4">
        <v>1.87</v>
      </c>
      <c r="AB117" s="4">
        <v>5</v>
      </c>
      <c r="AC117" s="4">
        <v>1.04</v>
      </c>
      <c r="AE117" s="4">
        <v>22</v>
      </c>
      <c r="AO117" s="4">
        <v>5.65</v>
      </c>
      <c r="AP117" s="4">
        <v>2.21</v>
      </c>
      <c r="AQ117" s="4">
        <v>2.44</v>
      </c>
      <c r="AR117" s="4">
        <v>6.25</v>
      </c>
      <c r="AS117" s="4">
        <v>75.7</v>
      </c>
      <c r="AT117" s="4">
        <v>51.9</v>
      </c>
      <c r="AU117" s="4">
        <v>2.57</v>
      </c>
      <c r="AV117" s="4">
        <v>575</v>
      </c>
      <c r="AY117" s="4">
        <v>419.3</v>
      </c>
      <c r="BA117" s="4">
        <v>13.98</v>
      </c>
      <c r="BB117" s="4">
        <v>0.5</v>
      </c>
      <c r="BC117" s="4" t="s">
        <v>524</v>
      </c>
      <c r="BD117" s="4" t="s">
        <v>1581</v>
      </c>
      <c r="BE117" s="4" t="s">
        <v>240</v>
      </c>
      <c r="BF117" s="4">
        <v>6.5</v>
      </c>
      <c r="BG117" s="4">
        <v>45.8</v>
      </c>
      <c r="BI117" s="4">
        <v>2.1</v>
      </c>
      <c r="BK117" s="4">
        <v>0.4</v>
      </c>
      <c r="BL117" s="4" t="s">
        <v>1613</v>
      </c>
      <c r="BM117" s="4" t="s">
        <v>1612</v>
      </c>
    </row>
    <row r="118" spans="4:65">
      <c r="D118" s="17" t="str">
        <f t="shared" si="22"/>
        <v>EinzelfuttermittelKatzeInnereien, TNPs, Schlachtabfälle und Tiermehle</v>
      </c>
      <c r="E118" s="4" t="s">
        <v>240</v>
      </c>
      <c r="F118" s="19" t="s">
        <v>90</v>
      </c>
      <c r="G118" s="4" t="s">
        <v>2852</v>
      </c>
      <c r="L118" s="4" t="s">
        <v>2901</v>
      </c>
      <c r="M118" s="4">
        <f t="shared" si="23"/>
        <v>5.5</v>
      </c>
      <c r="N118" s="4">
        <f t="shared" si="20"/>
        <v>57.1</v>
      </c>
      <c r="P118" s="4">
        <f t="shared" si="21"/>
        <v>24.2</v>
      </c>
      <c r="R118" s="4">
        <f t="shared" si="24"/>
        <v>0</v>
      </c>
      <c r="U118" s="33" t="str">
        <f t="shared" si="16"/>
        <v/>
      </c>
      <c r="BA118" s="4">
        <v>59.96</v>
      </c>
      <c r="BC118" s="4" t="s">
        <v>1621</v>
      </c>
      <c r="BD118" s="4" t="s">
        <v>1622</v>
      </c>
      <c r="BE118" s="4" t="s">
        <v>240</v>
      </c>
      <c r="BF118" s="4">
        <v>5.5</v>
      </c>
      <c r="BG118" s="4">
        <v>57.1</v>
      </c>
      <c r="BI118" s="4">
        <v>24.2</v>
      </c>
      <c r="BL118" s="4" t="s">
        <v>1624</v>
      </c>
      <c r="BM118" s="4" t="s">
        <v>1623</v>
      </c>
    </row>
    <row r="119" spans="4:65">
      <c r="D119" s="17" t="str">
        <f t="shared" si="22"/>
        <v>EinzelfuttermittelKatzeInnereien, TNPs, Schlachtabfälle und Tiermehle</v>
      </c>
      <c r="E119" s="4" t="s">
        <v>240</v>
      </c>
      <c r="F119" s="19" t="s">
        <v>90</v>
      </c>
      <c r="G119" s="32" t="s">
        <v>2852</v>
      </c>
      <c r="L119" s="4" t="s">
        <v>2894</v>
      </c>
      <c r="M119" s="4">
        <f t="shared" si="23"/>
        <v>0</v>
      </c>
      <c r="N119" s="4">
        <f t="shared" si="20"/>
        <v>0</v>
      </c>
      <c r="P119" s="4">
        <f t="shared" si="21"/>
        <v>0</v>
      </c>
      <c r="R119" s="4">
        <f t="shared" si="24"/>
        <v>0</v>
      </c>
      <c r="U119" s="33" t="str">
        <f t="shared" si="16"/>
        <v/>
      </c>
      <c r="BA119" s="4">
        <v>26.99</v>
      </c>
      <c r="BC119" s="4" t="s">
        <v>247</v>
      </c>
      <c r="BD119" s="4" t="s">
        <v>1622</v>
      </c>
      <c r="BE119" s="4" t="s">
        <v>240</v>
      </c>
      <c r="BL119" s="4" t="s">
        <v>247</v>
      </c>
      <c r="BM119" s="4" t="s">
        <v>1625</v>
      </c>
    </row>
    <row r="120" spans="4:65">
      <c r="D120" s="17" t="str">
        <f t="shared" si="22"/>
        <v>EinzelfuttermittelKatzeInnereien, TNPs, Schlachtabfälle und Tiermehle</v>
      </c>
      <c r="E120" s="4" t="s">
        <v>240</v>
      </c>
      <c r="F120" s="19" t="s">
        <v>90</v>
      </c>
      <c r="G120" s="32" t="s">
        <v>2852</v>
      </c>
      <c r="L120" s="27" t="s">
        <v>1626</v>
      </c>
      <c r="M120" s="4">
        <f t="shared" si="23"/>
        <v>0</v>
      </c>
      <c r="N120" s="4">
        <f t="shared" si="20"/>
        <v>0</v>
      </c>
      <c r="P120" s="4">
        <f t="shared" si="21"/>
        <v>0</v>
      </c>
      <c r="R120" s="4">
        <f t="shared" si="24"/>
        <v>0</v>
      </c>
      <c r="U120" s="33" t="str">
        <f t="shared" si="16"/>
        <v/>
      </c>
      <c r="BA120" s="4">
        <v>41.98</v>
      </c>
      <c r="BB120" s="4">
        <v>0.8</v>
      </c>
      <c r="BC120" s="4" t="s">
        <v>1627</v>
      </c>
      <c r="BD120" s="4" t="s">
        <v>1622</v>
      </c>
      <c r="BE120" s="4" t="s">
        <v>240</v>
      </c>
      <c r="BL120" s="4" t="s">
        <v>1626</v>
      </c>
      <c r="BM120" s="4" t="s">
        <v>1628</v>
      </c>
    </row>
    <row r="121" spans="4:65">
      <c r="D121" s="17" t="str">
        <f t="shared" si="22"/>
        <v>EinzelfuttermittelKatzeInnereien, TNPs, Schlachtabfälle und Tiermehle</v>
      </c>
      <c r="E121" s="4" t="s">
        <v>240</v>
      </c>
      <c r="F121" s="19" t="s">
        <v>90</v>
      </c>
      <c r="G121" s="32" t="s">
        <v>2852</v>
      </c>
      <c r="L121" s="27" t="s">
        <v>1010</v>
      </c>
      <c r="M121" s="4">
        <f t="shared" si="23"/>
        <v>0</v>
      </c>
      <c r="N121" s="4">
        <f t="shared" si="20"/>
        <v>0</v>
      </c>
      <c r="P121" s="4">
        <f t="shared" si="21"/>
        <v>0</v>
      </c>
      <c r="R121" s="4">
        <f t="shared" si="24"/>
        <v>0</v>
      </c>
      <c r="U121" s="33" t="str">
        <f t="shared" si="16"/>
        <v/>
      </c>
      <c r="BA121" s="4">
        <v>94.36</v>
      </c>
      <c r="BC121" s="4" t="s">
        <v>1010</v>
      </c>
      <c r="BD121" s="4" t="s">
        <v>1622</v>
      </c>
      <c r="BE121" s="4" t="s">
        <v>240</v>
      </c>
      <c r="BL121" s="4" t="s">
        <v>1629</v>
      </c>
      <c r="BM121" s="4" t="s">
        <v>1630</v>
      </c>
    </row>
    <row r="122" spans="4:65">
      <c r="D122" s="17" t="str">
        <f t="shared" si="22"/>
        <v>EinzelfuttermittelKatzeMineralstoffe</v>
      </c>
      <c r="E122" s="4" t="s">
        <v>240</v>
      </c>
      <c r="F122" s="19" t="s">
        <v>90</v>
      </c>
      <c r="G122" s="4" t="s">
        <v>437</v>
      </c>
      <c r="L122" s="4" t="s">
        <v>1647</v>
      </c>
      <c r="M122" s="4">
        <f t="shared" si="23"/>
        <v>0</v>
      </c>
      <c r="N122" s="4">
        <f t="shared" si="20"/>
        <v>0</v>
      </c>
      <c r="P122" s="4">
        <f t="shared" si="21"/>
        <v>0</v>
      </c>
      <c r="R122" s="4">
        <f t="shared" si="24"/>
        <v>0</v>
      </c>
      <c r="U122" s="33" t="str">
        <f t="shared" si="16"/>
        <v/>
      </c>
      <c r="X122" s="4">
        <v>98000</v>
      </c>
      <c r="BA122" s="4">
        <v>11.98</v>
      </c>
      <c r="BC122" s="4" t="s">
        <v>1646</v>
      </c>
      <c r="BD122" s="4" t="s">
        <v>1622</v>
      </c>
      <c r="BE122" s="4" t="s">
        <v>240</v>
      </c>
      <c r="BL122" s="4" t="s">
        <v>1647</v>
      </c>
      <c r="BM122" s="4" t="s">
        <v>1648</v>
      </c>
    </row>
    <row r="123" spans="4:65">
      <c r="D123" s="17" t="str">
        <f t="shared" si="22"/>
        <v>EinzelfuttermittelKatzeMineralstoffe</v>
      </c>
      <c r="E123" s="4" t="s">
        <v>240</v>
      </c>
      <c r="F123" s="19" t="s">
        <v>90</v>
      </c>
      <c r="G123" s="4" t="s">
        <v>437</v>
      </c>
      <c r="L123" s="4" t="s">
        <v>1647</v>
      </c>
      <c r="M123" s="4">
        <f t="shared" si="23"/>
        <v>0</v>
      </c>
      <c r="N123" s="4">
        <f t="shared" si="20"/>
        <v>0</v>
      </c>
      <c r="P123" s="4">
        <f t="shared" si="21"/>
        <v>0</v>
      </c>
      <c r="R123" s="4">
        <f t="shared" si="24"/>
        <v>0</v>
      </c>
      <c r="U123" s="33" t="str">
        <f t="shared" si="16"/>
        <v/>
      </c>
      <c r="V123" s="4">
        <v>3700</v>
      </c>
      <c r="W123" s="4">
        <v>1100</v>
      </c>
      <c r="X123" s="4">
        <v>86000</v>
      </c>
      <c r="BA123" s="4">
        <v>7.98</v>
      </c>
      <c r="BC123" s="4" t="s">
        <v>1649</v>
      </c>
      <c r="BD123" s="4" t="s">
        <v>1622</v>
      </c>
      <c r="BE123" s="4" t="s">
        <v>240</v>
      </c>
      <c r="BL123" s="4" t="s">
        <v>1651</v>
      </c>
      <c r="BM123" s="4" t="s">
        <v>1650</v>
      </c>
    </row>
    <row r="124" spans="4:65">
      <c r="D124" s="17" t="str">
        <f t="shared" si="22"/>
        <v>EinzelfuttermittelKatzeGemüse, Obst und Faserstoffe</v>
      </c>
      <c r="E124" s="4" t="s">
        <v>240</v>
      </c>
      <c r="F124" s="19" t="s">
        <v>90</v>
      </c>
      <c r="G124" s="4" t="s">
        <v>2855</v>
      </c>
      <c r="L124" s="27" t="s">
        <v>334</v>
      </c>
      <c r="M124" s="4">
        <f t="shared" si="23"/>
        <v>0</v>
      </c>
      <c r="N124" s="4">
        <f t="shared" si="20"/>
        <v>0</v>
      </c>
      <c r="P124" s="4">
        <f t="shared" si="21"/>
        <v>0</v>
      </c>
      <c r="R124" s="4">
        <f t="shared" si="24"/>
        <v>0</v>
      </c>
      <c r="U124" s="33" t="str">
        <f t="shared" si="16"/>
        <v/>
      </c>
      <c r="AW124" s="4">
        <v>1000</v>
      </c>
      <c r="BA124" s="4">
        <v>23.98</v>
      </c>
      <c r="BB124" s="4">
        <v>0.375</v>
      </c>
      <c r="BC124" s="4" t="s">
        <v>1652</v>
      </c>
      <c r="BD124" s="4" t="s">
        <v>1622</v>
      </c>
      <c r="BE124" s="4" t="s">
        <v>240</v>
      </c>
      <c r="BL124" s="4" t="s">
        <v>1654</v>
      </c>
      <c r="BM124" s="4" t="s">
        <v>1653</v>
      </c>
    </row>
    <row r="125" spans="4:65">
      <c r="D125" s="17" t="str">
        <f t="shared" si="22"/>
        <v>EinzelfuttermittelKatzeInnereien, TNPs, Schlachtabfälle und Tiermehle</v>
      </c>
      <c r="E125" s="4" t="s">
        <v>240</v>
      </c>
      <c r="F125" s="19" t="s">
        <v>90</v>
      </c>
      <c r="G125" s="21" t="s">
        <v>2852</v>
      </c>
      <c r="L125" s="4" t="s">
        <v>1657</v>
      </c>
      <c r="M125" s="4">
        <f t="shared" si="23"/>
        <v>0</v>
      </c>
      <c r="N125" s="4">
        <f t="shared" si="20"/>
        <v>0</v>
      </c>
      <c r="P125" s="4">
        <f t="shared" si="21"/>
        <v>0</v>
      </c>
      <c r="R125" s="4">
        <f t="shared" si="24"/>
        <v>0</v>
      </c>
      <c r="U125" s="33" t="str">
        <f t="shared" si="16"/>
        <v/>
      </c>
      <c r="BA125" s="4">
        <v>51.8</v>
      </c>
      <c r="BB125" s="4">
        <v>0.8</v>
      </c>
      <c r="BC125" s="4" t="s">
        <v>1655</v>
      </c>
      <c r="BD125" s="4" t="s">
        <v>1622</v>
      </c>
      <c r="BE125" s="4" t="s">
        <v>240</v>
      </c>
      <c r="BL125" s="4" t="s">
        <v>1657</v>
      </c>
      <c r="BM125" s="4" t="s">
        <v>1656</v>
      </c>
    </row>
    <row r="126" spans="4:65">
      <c r="D126" s="17" t="str">
        <f t="shared" si="22"/>
        <v>EinzelfuttermittelKatzeGemüse, Obst und Faserstoffe</v>
      </c>
      <c r="E126" s="4" t="s">
        <v>240</v>
      </c>
      <c r="F126" s="19" t="s">
        <v>90</v>
      </c>
      <c r="G126" s="32" t="s">
        <v>2855</v>
      </c>
      <c r="L126" s="4" t="s">
        <v>2875</v>
      </c>
      <c r="M126" s="4">
        <f t="shared" si="23"/>
        <v>0</v>
      </c>
      <c r="N126" s="4">
        <f t="shared" si="20"/>
        <v>0</v>
      </c>
      <c r="P126" s="4">
        <f t="shared" si="21"/>
        <v>0</v>
      </c>
      <c r="R126" s="4">
        <f t="shared" si="24"/>
        <v>0</v>
      </c>
      <c r="U126" s="33" t="str">
        <f t="shared" si="16"/>
        <v/>
      </c>
      <c r="BA126" s="4">
        <v>369.9</v>
      </c>
      <c r="BC126" s="4" t="s">
        <v>367</v>
      </c>
      <c r="BD126" s="4" t="s">
        <v>1622</v>
      </c>
      <c r="BE126" s="4" t="s">
        <v>240</v>
      </c>
      <c r="BL126" s="4" t="s">
        <v>1462</v>
      </c>
      <c r="BM126" s="4" t="s">
        <v>1658</v>
      </c>
    </row>
    <row r="127" spans="4:65">
      <c r="D127" s="17" t="str">
        <f t="shared" si="22"/>
        <v>EinzelfuttermittelKatzeGemüse, Obst und Faserstoffe</v>
      </c>
      <c r="E127" s="4" t="s">
        <v>240</v>
      </c>
      <c r="F127" s="19" t="s">
        <v>90</v>
      </c>
      <c r="G127" s="4" t="s">
        <v>2855</v>
      </c>
      <c r="L127" s="27" t="s">
        <v>3264</v>
      </c>
      <c r="M127" s="4">
        <f t="shared" si="23"/>
        <v>0</v>
      </c>
      <c r="N127" s="4">
        <f t="shared" si="20"/>
        <v>0</v>
      </c>
      <c r="P127" s="4">
        <f t="shared" si="21"/>
        <v>0</v>
      </c>
      <c r="R127" s="4">
        <f t="shared" si="24"/>
        <v>0</v>
      </c>
      <c r="U127" s="33" t="str">
        <f t="shared" si="16"/>
        <v/>
      </c>
      <c r="BA127" s="4">
        <v>48.76</v>
      </c>
      <c r="BB127" s="4">
        <v>0.4</v>
      </c>
      <c r="BC127" s="4" t="s">
        <v>1659</v>
      </c>
      <c r="BD127" s="4" t="s">
        <v>1622</v>
      </c>
      <c r="BE127" s="4" t="s">
        <v>240</v>
      </c>
      <c r="BL127" s="4" t="s">
        <v>1661</v>
      </c>
      <c r="BM127" s="4" t="s">
        <v>1660</v>
      </c>
    </row>
    <row r="128" spans="4:65">
      <c r="D128" s="17" t="str">
        <f t="shared" si="22"/>
        <v>EinzelfuttermittelKatzeGetreide, Samen, Leguminosen und Kartoffel-Produkte</v>
      </c>
      <c r="E128" s="4" t="s">
        <v>240</v>
      </c>
      <c r="F128" s="19" t="s">
        <v>90</v>
      </c>
      <c r="G128" s="4" t="s">
        <v>2857</v>
      </c>
      <c r="L128" s="4" t="s">
        <v>2866</v>
      </c>
      <c r="M128" s="4">
        <f t="shared" si="23"/>
        <v>0</v>
      </c>
      <c r="N128" s="4">
        <f t="shared" ref="N128:N159" si="25">BG128</f>
        <v>2.4</v>
      </c>
      <c r="P128" s="4">
        <f t="shared" ref="P128:P159" si="26">BI128</f>
        <v>0.5</v>
      </c>
      <c r="R128" s="4">
        <f t="shared" si="24"/>
        <v>84</v>
      </c>
      <c r="U128" s="33" t="str">
        <f t="shared" si="16"/>
        <v/>
      </c>
      <c r="BA128" s="4">
        <v>33.979999999999997</v>
      </c>
      <c r="BB128" s="4">
        <v>0.625</v>
      </c>
      <c r="BC128" s="4" t="s">
        <v>1665</v>
      </c>
      <c r="BD128" s="4" t="s">
        <v>1622</v>
      </c>
      <c r="BE128" s="4" t="s">
        <v>240</v>
      </c>
      <c r="BG128" s="4">
        <v>2.4</v>
      </c>
      <c r="BI128" s="4">
        <v>0.5</v>
      </c>
      <c r="BK128" s="4">
        <v>84</v>
      </c>
      <c r="BL128" s="4" t="s">
        <v>1667</v>
      </c>
      <c r="BM128" s="4" t="s">
        <v>1666</v>
      </c>
    </row>
    <row r="129" spans="4:65">
      <c r="D129" s="17" t="str">
        <f t="shared" si="22"/>
        <v>EinzelfuttermittelKatzeGemüse, Obst und Faserstoffe</v>
      </c>
      <c r="E129" s="4" t="s">
        <v>240</v>
      </c>
      <c r="F129" s="19" t="s">
        <v>90</v>
      </c>
      <c r="G129" s="4" t="s">
        <v>2855</v>
      </c>
      <c r="L129" s="27" t="s">
        <v>3266</v>
      </c>
      <c r="M129" s="4">
        <f t="shared" si="23"/>
        <v>0</v>
      </c>
      <c r="N129" s="4">
        <f t="shared" si="25"/>
        <v>0</v>
      </c>
      <c r="P129" s="4">
        <f t="shared" si="26"/>
        <v>0</v>
      </c>
      <c r="R129" s="4">
        <f t="shared" si="24"/>
        <v>0</v>
      </c>
      <c r="U129" s="33" t="str">
        <f t="shared" si="16"/>
        <v/>
      </c>
      <c r="BA129" s="4">
        <v>39.96</v>
      </c>
      <c r="BB129" s="4">
        <v>1.5</v>
      </c>
      <c r="BC129" s="4" t="s">
        <v>1668</v>
      </c>
      <c r="BD129" s="4" t="s">
        <v>1622</v>
      </c>
      <c r="BE129" s="4" t="s">
        <v>240</v>
      </c>
      <c r="BL129" s="4" t="s">
        <v>3265</v>
      </c>
      <c r="BM129" s="4" t="s">
        <v>1669</v>
      </c>
    </row>
    <row r="130" spans="4:65">
      <c r="D130" s="17" t="str">
        <f t="shared" si="22"/>
        <v>EinzelfuttermittelKatzeGemüse, Obst und Faserstoffe</v>
      </c>
      <c r="E130" s="4" t="s">
        <v>240</v>
      </c>
      <c r="F130" s="19" t="s">
        <v>90</v>
      </c>
      <c r="G130" s="4" t="s">
        <v>2855</v>
      </c>
      <c r="L130" s="27" t="s">
        <v>3267</v>
      </c>
      <c r="M130" s="4">
        <f t="shared" si="23"/>
        <v>0</v>
      </c>
      <c r="N130" s="4">
        <f t="shared" si="25"/>
        <v>0</v>
      </c>
      <c r="P130" s="4">
        <f t="shared" si="26"/>
        <v>0</v>
      </c>
      <c r="R130" s="4">
        <f t="shared" si="24"/>
        <v>0</v>
      </c>
      <c r="U130" s="33" t="str">
        <f t="shared" si="16"/>
        <v/>
      </c>
      <c r="BA130" s="4">
        <v>69.95</v>
      </c>
      <c r="BC130" s="4" t="s">
        <v>1670</v>
      </c>
      <c r="BD130" s="4" t="s">
        <v>1622</v>
      </c>
      <c r="BE130" s="4" t="s">
        <v>240</v>
      </c>
      <c r="BL130" s="4" t="s">
        <v>1672</v>
      </c>
      <c r="BM130" s="4" t="s">
        <v>1671</v>
      </c>
    </row>
    <row r="131" spans="4:65">
      <c r="D131" s="17" t="str">
        <f t="shared" si="22"/>
        <v>EinzelfuttermittelKatzeMineralstoffe</v>
      </c>
      <c r="E131" s="4" t="s">
        <v>240</v>
      </c>
      <c r="F131" s="19" t="s">
        <v>90</v>
      </c>
      <c r="G131" s="4" t="s">
        <v>437</v>
      </c>
      <c r="L131" s="27" t="s">
        <v>1673</v>
      </c>
      <c r="M131" s="4">
        <f t="shared" si="23"/>
        <v>0</v>
      </c>
      <c r="N131" s="4">
        <f t="shared" si="25"/>
        <v>0</v>
      </c>
      <c r="P131" s="4">
        <f t="shared" si="26"/>
        <v>0</v>
      </c>
      <c r="R131" s="4">
        <f t="shared" si="24"/>
        <v>0</v>
      </c>
      <c r="U131" s="33" t="str">
        <f t="shared" si="16"/>
        <v/>
      </c>
      <c r="BA131" s="4">
        <v>31.98</v>
      </c>
      <c r="BB131" s="4">
        <v>1</v>
      </c>
      <c r="BC131" s="4" t="s">
        <v>1673</v>
      </c>
      <c r="BD131" s="4" t="s">
        <v>1622</v>
      </c>
      <c r="BE131" s="4" t="s">
        <v>240</v>
      </c>
      <c r="BM131" s="4" t="s">
        <v>1674</v>
      </c>
    </row>
    <row r="132" spans="4:65">
      <c r="D132" s="17" t="str">
        <f t="shared" ref="D132:D163" si="27">E132&amp;""&amp;F132&amp;""&amp;G132&amp;""&amp;H132</f>
        <v>EinzelfuttermittelKatzeFleisch-, Fisch- und Algenprodukte</v>
      </c>
      <c r="E132" s="4" t="s">
        <v>240</v>
      </c>
      <c r="F132" s="19" t="s">
        <v>90</v>
      </c>
      <c r="G132" s="4" t="s">
        <v>2854</v>
      </c>
      <c r="L132" s="4" t="s">
        <v>220</v>
      </c>
      <c r="M132" s="4">
        <f t="shared" si="23"/>
        <v>25</v>
      </c>
      <c r="N132" s="4">
        <f t="shared" si="25"/>
        <v>7.2</v>
      </c>
      <c r="P132" s="4">
        <f t="shared" si="26"/>
        <v>2.8</v>
      </c>
      <c r="R132" s="4">
        <f t="shared" si="24"/>
        <v>4.2</v>
      </c>
      <c r="S132" s="4">
        <v>1800</v>
      </c>
      <c r="T132" s="4">
        <v>200</v>
      </c>
      <c r="U132" s="33">
        <f t="shared" si="16"/>
        <v>9</v>
      </c>
      <c r="V132" s="4">
        <v>500</v>
      </c>
      <c r="W132" s="4">
        <v>2800</v>
      </c>
      <c r="X132" s="4">
        <v>2500</v>
      </c>
      <c r="AD132" s="4">
        <v>6000</v>
      </c>
      <c r="BA132" s="4">
        <v>17.98</v>
      </c>
      <c r="BB132" s="4">
        <v>0.375</v>
      </c>
      <c r="BC132" s="4" t="s">
        <v>220</v>
      </c>
      <c r="BD132" s="4" t="s">
        <v>1622</v>
      </c>
      <c r="BE132" s="4" t="s">
        <v>240</v>
      </c>
      <c r="BF132" s="4">
        <v>25</v>
      </c>
      <c r="BG132" s="4">
        <v>7.2</v>
      </c>
      <c r="BI132" s="4">
        <v>2.8</v>
      </c>
      <c r="BK132" s="4">
        <v>4.2</v>
      </c>
      <c r="BL132" s="4" t="s">
        <v>1676</v>
      </c>
      <c r="BM132" s="4" t="s">
        <v>1675</v>
      </c>
    </row>
    <row r="133" spans="4:65">
      <c r="D133" s="17" t="str">
        <f t="shared" si="27"/>
        <v>EinzelfuttermittelKatzeFleisch-, Fisch- und Algenprodukte</v>
      </c>
      <c r="E133" s="4" t="s">
        <v>240</v>
      </c>
      <c r="F133" s="19" t="s">
        <v>90</v>
      </c>
      <c r="G133" s="4" t="s">
        <v>2854</v>
      </c>
      <c r="L133" s="4" t="s">
        <v>2864</v>
      </c>
      <c r="M133" s="4">
        <f t="shared" si="23"/>
        <v>26.4</v>
      </c>
      <c r="N133" s="4">
        <f t="shared" si="25"/>
        <v>44.7</v>
      </c>
      <c r="P133" s="4">
        <f t="shared" si="26"/>
        <v>3.1</v>
      </c>
      <c r="R133" s="4">
        <f t="shared" si="24"/>
        <v>0</v>
      </c>
      <c r="S133" s="4">
        <v>1080</v>
      </c>
      <c r="T133" s="4">
        <v>800</v>
      </c>
      <c r="U133" s="33">
        <f t="shared" ref="U133:U196" si="28">IF(S133="","",S133/T133)</f>
        <v>1.35</v>
      </c>
      <c r="V133" s="4">
        <v>6200</v>
      </c>
      <c r="W133" s="4">
        <v>1030</v>
      </c>
      <c r="X133" s="4">
        <v>6500</v>
      </c>
      <c r="BA133" s="4">
        <v>87.98</v>
      </c>
      <c r="BB133" s="4">
        <v>0.5</v>
      </c>
      <c r="BC133" s="4" t="s">
        <v>92</v>
      </c>
      <c r="BD133" s="4" t="s">
        <v>1622</v>
      </c>
      <c r="BE133" s="4" t="s">
        <v>240</v>
      </c>
      <c r="BF133" s="4">
        <v>26.4</v>
      </c>
      <c r="BG133" s="4">
        <v>44.7</v>
      </c>
      <c r="BI133" s="4">
        <v>3.1</v>
      </c>
      <c r="BL133" s="4" t="s">
        <v>1678</v>
      </c>
      <c r="BM133" s="4" t="s">
        <v>1677</v>
      </c>
    </row>
    <row r="134" spans="4:65">
      <c r="D134" s="17" t="str">
        <f t="shared" si="27"/>
        <v>EinzelfuttermittelKatzeFleisch-, Fisch- und Algenprodukte</v>
      </c>
      <c r="E134" s="4" t="s">
        <v>240</v>
      </c>
      <c r="F134" s="19" t="s">
        <v>90</v>
      </c>
      <c r="G134" s="4" t="s">
        <v>2854</v>
      </c>
      <c r="L134" s="4" t="s">
        <v>2859</v>
      </c>
      <c r="M134" s="4">
        <f t="shared" si="23"/>
        <v>0</v>
      </c>
      <c r="N134" s="4">
        <f t="shared" si="25"/>
        <v>0</v>
      </c>
      <c r="P134" s="4">
        <f t="shared" si="26"/>
        <v>0</v>
      </c>
      <c r="R134" s="4">
        <f t="shared" si="24"/>
        <v>0</v>
      </c>
      <c r="U134" s="33" t="str">
        <f t="shared" si="28"/>
        <v/>
      </c>
      <c r="BA134" s="4">
        <v>75.959999999999994</v>
      </c>
      <c r="BC134" s="4" t="s">
        <v>516</v>
      </c>
      <c r="BD134" s="4" t="s">
        <v>1622</v>
      </c>
      <c r="BE134" s="4" t="s">
        <v>240</v>
      </c>
      <c r="BL134" s="4" t="s">
        <v>1680</v>
      </c>
      <c r="BM134" s="4" t="s">
        <v>1679</v>
      </c>
    </row>
    <row r="135" spans="4:65">
      <c r="D135" s="17" t="str">
        <f t="shared" si="27"/>
        <v>EinzelfuttermittelKatzeGemüse, Obst und Faserstoffe</v>
      </c>
      <c r="E135" s="4" t="s">
        <v>240</v>
      </c>
      <c r="F135" s="19" t="s">
        <v>90</v>
      </c>
      <c r="G135" s="4" t="s">
        <v>2855</v>
      </c>
      <c r="L135" s="4" t="s">
        <v>2892</v>
      </c>
      <c r="M135" s="4">
        <f t="shared" ref="M135:M166" si="29">BF135</f>
        <v>0</v>
      </c>
      <c r="N135" s="4">
        <f t="shared" si="25"/>
        <v>0</v>
      </c>
      <c r="P135" s="4">
        <f t="shared" si="26"/>
        <v>0</v>
      </c>
      <c r="R135" s="4">
        <f t="shared" ref="R135:R166" si="30">BK135</f>
        <v>16</v>
      </c>
      <c r="U135" s="33" t="str">
        <f t="shared" si="28"/>
        <v/>
      </c>
      <c r="BA135" s="4">
        <v>26.78</v>
      </c>
      <c r="BB135" s="4">
        <v>3</v>
      </c>
      <c r="BC135" s="4" t="s">
        <v>1681</v>
      </c>
      <c r="BD135" s="4" t="s">
        <v>1622</v>
      </c>
      <c r="BE135" s="4" t="s">
        <v>240</v>
      </c>
      <c r="BK135" s="4">
        <v>16</v>
      </c>
      <c r="BL135" s="4" t="s">
        <v>1683</v>
      </c>
      <c r="BM135" s="4" t="s">
        <v>1682</v>
      </c>
    </row>
    <row r="136" spans="4:65">
      <c r="D136" s="17" t="str">
        <f t="shared" si="27"/>
        <v>EinzelfuttermittelKatzeGemüse, Obst und Faserstoffe</v>
      </c>
      <c r="E136" s="4" t="s">
        <v>240</v>
      </c>
      <c r="F136" s="19" t="s">
        <v>90</v>
      </c>
      <c r="G136" s="4" t="s">
        <v>2855</v>
      </c>
      <c r="L136" s="4" t="s">
        <v>2877</v>
      </c>
      <c r="M136" s="4">
        <f t="shared" si="29"/>
        <v>5</v>
      </c>
      <c r="N136" s="4">
        <f t="shared" si="25"/>
        <v>4.5</v>
      </c>
      <c r="P136" s="4">
        <f t="shared" si="26"/>
        <v>2</v>
      </c>
      <c r="R136" s="4">
        <f t="shared" si="30"/>
        <v>15</v>
      </c>
      <c r="U136" s="33" t="str">
        <f t="shared" si="28"/>
        <v/>
      </c>
      <c r="BA136" s="4">
        <v>15.38</v>
      </c>
      <c r="BC136" s="4" t="s">
        <v>1684</v>
      </c>
      <c r="BD136" s="4" t="s">
        <v>1622</v>
      </c>
      <c r="BE136" s="4" t="s">
        <v>240</v>
      </c>
      <c r="BF136" s="4">
        <v>5</v>
      </c>
      <c r="BG136" s="4">
        <v>4.5</v>
      </c>
      <c r="BI136" s="4">
        <v>2</v>
      </c>
      <c r="BK136" s="4">
        <v>15</v>
      </c>
      <c r="BL136" s="4" t="s">
        <v>1686</v>
      </c>
      <c r="BM136" s="4" t="s">
        <v>1685</v>
      </c>
    </row>
    <row r="137" spans="4:65">
      <c r="D137" s="17" t="str">
        <f t="shared" si="27"/>
        <v>EinzelfuttermittelKatzeGemüse, Obst und Faserstoffe</v>
      </c>
      <c r="E137" s="4" t="s">
        <v>240</v>
      </c>
      <c r="F137" s="19" t="s">
        <v>90</v>
      </c>
      <c r="G137" s="4" t="s">
        <v>2855</v>
      </c>
      <c r="L137" s="4" t="s">
        <v>2877</v>
      </c>
      <c r="M137" s="4">
        <f t="shared" si="29"/>
        <v>0</v>
      </c>
      <c r="N137" s="4">
        <f t="shared" si="25"/>
        <v>6</v>
      </c>
      <c r="P137" s="4">
        <f t="shared" si="26"/>
        <v>0</v>
      </c>
      <c r="R137" s="4">
        <f t="shared" si="30"/>
        <v>4.5</v>
      </c>
      <c r="U137" s="33" t="str">
        <f t="shared" si="28"/>
        <v/>
      </c>
      <c r="BA137" s="4">
        <v>17.98</v>
      </c>
      <c r="BC137" s="4" t="s">
        <v>1687</v>
      </c>
      <c r="BD137" s="4" t="s">
        <v>1622</v>
      </c>
      <c r="BE137" s="4" t="s">
        <v>240</v>
      </c>
      <c r="BG137" s="4">
        <v>6</v>
      </c>
      <c r="BK137" s="4">
        <v>4.5</v>
      </c>
      <c r="BL137" s="4" t="s">
        <v>1686</v>
      </c>
      <c r="BM137" s="4" t="s">
        <v>1688</v>
      </c>
    </row>
    <row r="138" spans="4:65">
      <c r="D138" s="17" t="str">
        <f t="shared" si="27"/>
        <v>EinzelfuttermittelKatzeGetreide, Samen, Leguminosen und Kartoffel-Produkte</v>
      </c>
      <c r="E138" s="4" t="s">
        <v>240</v>
      </c>
      <c r="F138" s="19" t="s">
        <v>90</v>
      </c>
      <c r="G138" s="4" t="s">
        <v>2857</v>
      </c>
      <c r="L138" s="4" t="s">
        <v>2878</v>
      </c>
      <c r="M138" s="4">
        <f t="shared" si="29"/>
        <v>5</v>
      </c>
      <c r="N138" s="4">
        <f t="shared" si="25"/>
        <v>4.5</v>
      </c>
      <c r="P138" s="4">
        <f t="shared" si="26"/>
        <v>2</v>
      </c>
      <c r="R138" s="4">
        <f t="shared" si="30"/>
        <v>15</v>
      </c>
      <c r="U138" s="33" t="str">
        <f t="shared" si="28"/>
        <v/>
      </c>
      <c r="BA138" s="4">
        <v>17.98</v>
      </c>
      <c r="BC138" s="4" t="s">
        <v>1689</v>
      </c>
      <c r="BD138" s="4" t="s">
        <v>1622</v>
      </c>
      <c r="BE138" s="4" t="s">
        <v>240</v>
      </c>
      <c r="BF138" s="4">
        <v>5</v>
      </c>
      <c r="BG138" s="4">
        <v>4.5</v>
      </c>
      <c r="BI138" s="4">
        <v>2</v>
      </c>
      <c r="BK138" s="4">
        <v>15</v>
      </c>
      <c r="BL138" s="4" t="s">
        <v>1692</v>
      </c>
      <c r="BM138" s="4" t="s">
        <v>1691</v>
      </c>
    </row>
    <row r="139" spans="4:65">
      <c r="D139" s="17" t="str">
        <f t="shared" si="27"/>
        <v>EinzelfuttermittelKatzeGetreide, Samen, Leguminosen und Kartoffel-Produkte</v>
      </c>
      <c r="E139" s="4" t="s">
        <v>240</v>
      </c>
      <c r="F139" s="19" t="s">
        <v>90</v>
      </c>
      <c r="G139" s="4" t="s">
        <v>2857</v>
      </c>
      <c r="L139" s="4" t="s">
        <v>2878</v>
      </c>
      <c r="M139" s="4">
        <f t="shared" si="29"/>
        <v>0</v>
      </c>
      <c r="N139" s="4">
        <f t="shared" si="25"/>
        <v>6</v>
      </c>
      <c r="P139" s="4">
        <f t="shared" si="26"/>
        <v>0</v>
      </c>
      <c r="R139" s="4">
        <f t="shared" si="30"/>
        <v>4.5</v>
      </c>
      <c r="U139" s="33" t="str">
        <f t="shared" si="28"/>
        <v/>
      </c>
      <c r="BA139" s="4">
        <v>27.98</v>
      </c>
      <c r="BC139" s="4" t="s">
        <v>1690</v>
      </c>
      <c r="BD139" s="4" t="s">
        <v>1622</v>
      </c>
      <c r="BE139" s="4" t="s">
        <v>240</v>
      </c>
      <c r="BG139" s="4">
        <v>6</v>
      </c>
      <c r="BK139" s="4">
        <v>4.5</v>
      </c>
      <c r="BL139" s="4" t="s">
        <v>1692</v>
      </c>
      <c r="BM139" s="4" t="s">
        <v>1693</v>
      </c>
    </row>
    <row r="140" spans="4:65">
      <c r="D140" s="17" t="str">
        <f t="shared" si="27"/>
        <v>EinzelfuttermittelKatzeGetreide, Samen, Leguminosen und Kartoffel-Produkte</v>
      </c>
      <c r="E140" s="4" t="s">
        <v>240</v>
      </c>
      <c r="F140" s="19" t="s">
        <v>90</v>
      </c>
      <c r="G140" s="4" t="s">
        <v>2857</v>
      </c>
      <c r="L140" s="4" t="s">
        <v>2879</v>
      </c>
      <c r="M140" s="4">
        <f t="shared" si="29"/>
        <v>0</v>
      </c>
      <c r="N140" s="4">
        <f t="shared" si="25"/>
        <v>0</v>
      </c>
      <c r="P140" s="4">
        <f t="shared" si="26"/>
        <v>0</v>
      </c>
      <c r="R140" s="4">
        <f t="shared" si="30"/>
        <v>0</v>
      </c>
      <c r="U140" s="33" t="str">
        <f t="shared" si="28"/>
        <v/>
      </c>
      <c r="BA140" s="4">
        <v>19.98</v>
      </c>
      <c r="BC140" s="4" t="s">
        <v>1694</v>
      </c>
      <c r="BD140" s="4" t="s">
        <v>1622</v>
      </c>
      <c r="BE140" s="4" t="s">
        <v>240</v>
      </c>
      <c r="BL140" s="4" t="s">
        <v>1698</v>
      </c>
      <c r="BM140" s="4" t="s">
        <v>1697</v>
      </c>
    </row>
    <row r="141" spans="4:65">
      <c r="D141" s="17" t="str">
        <f t="shared" si="27"/>
        <v>EinzelfuttermittelKatzeGetreide, Samen, Leguminosen und Kartoffel-Produkte</v>
      </c>
      <c r="E141" s="4" t="s">
        <v>240</v>
      </c>
      <c r="F141" s="19" t="s">
        <v>90</v>
      </c>
      <c r="G141" s="4" t="s">
        <v>2857</v>
      </c>
      <c r="L141" s="4" t="s">
        <v>1695</v>
      </c>
      <c r="M141" s="4">
        <f t="shared" si="29"/>
        <v>0</v>
      </c>
      <c r="N141" s="4">
        <f t="shared" si="25"/>
        <v>2.5</v>
      </c>
      <c r="P141" s="4">
        <f t="shared" si="26"/>
        <v>0</v>
      </c>
      <c r="R141" s="4">
        <f t="shared" si="30"/>
        <v>0</v>
      </c>
      <c r="U141" s="33" t="str">
        <f t="shared" si="28"/>
        <v/>
      </c>
      <c r="BA141" s="4">
        <v>11.98</v>
      </c>
      <c r="BC141" s="4" t="s">
        <v>1695</v>
      </c>
      <c r="BD141" s="4" t="s">
        <v>1622</v>
      </c>
      <c r="BE141" s="4" t="s">
        <v>240</v>
      </c>
      <c r="BG141" s="4">
        <v>2.5</v>
      </c>
      <c r="BL141" s="4" t="s">
        <v>1699</v>
      </c>
      <c r="BM141" s="4" t="s">
        <v>1700</v>
      </c>
    </row>
    <row r="142" spans="4:65">
      <c r="D142" s="17" t="str">
        <f t="shared" si="27"/>
        <v>EinzelfuttermittelKatzeGemüse, Obst und Faserstoffe</v>
      </c>
      <c r="E142" s="4" t="s">
        <v>240</v>
      </c>
      <c r="F142" s="19" t="s">
        <v>90</v>
      </c>
      <c r="G142" s="4" t="s">
        <v>2855</v>
      </c>
      <c r="L142" s="27" t="s">
        <v>1696</v>
      </c>
      <c r="M142" s="4">
        <f t="shared" si="29"/>
        <v>0</v>
      </c>
      <c r="N142" s="4">
        <f t="shared" si="25"/>
        <v>7</v>
      </c>
      <c r="P142" s="4">
        <f t="shared" si="26"/>
        <v>0</v>
      </c>
      <c r="R142" s="4">
        <f t="shared" si="30"/>
        <v>5</v>
      </c>
      <c r="U142" s="33" t="str">
        <f t="shared" si="28"/>
        <v/>
      </c>
      <c r="BA142" s="4">
        <v>32.979999999999997</v>
      </c>
      <c r="BC142" s="4" t="s">
        <v>1696</v>
      </c>
      <c r="BD142" s="4" t="s">
        <v>1622</v>
      </c>
      <c r="BE142" s="4" t="s">
        <v>240</v>
      </c>
      <c r="BG142" s="4">
        <v>7</v>
      </c>
      <c r="BK142" s="4">
        <v>5</v>
      </c>
      <c r="BL142" s="4" t="s">
        <v>1701</v>
      </c>
      <c r="BM142" s="4" t="s">
        <v>1702</v>
      </c>
    </row>
    <row r="143" spans="4:65">
      <c r="D143" s="17" t="str">
        <f t="shared" si="27"/>
        <v>EinzelfuttermittelKatzeGemüse, Obst und Faserstoffe</v>
      </c>
      <c r="E143" s="4" t="s">
        <v>240</v>
      </c>
      <c r="F143" s="19" t="s">
        <v>90</v>
      </c>
      <c r="G143" s="4" t="s">
        <v>2855</v>
      </c>
      <c r="L143" s="4" t="s">
        <v>2900</v>
      </c>
      <c r="M143" s="4">
        <f t="shared" si="29"/>
        <v>0</v>
      </c>
      <c r="N143" s="4">
        <f t="shared" si="25"/>
        <v>21</v>
      </c>
      <c r="P143" s="4">
        <f t="shared" si="26"/>
        <v>0</v>
      </c>
      <c r="R143" s="4">
        <f t="shared" si="30"/>
        <v>35</v>
      </c>
      <c r="U143" s="33" t="str">
        <f t="shared" si="28"/>
        <v/>
      </c>
      <c r="BA143" s="4">
        <v>19.96</v>
      </c>
      <c r="BC143" s="4" t="s">
        <v>1703</v>
      </c>
      <c r="BD143" s="4" t="s">
        <v>1622</v>
      </c>
      <c r="BE143" s="4" t="s">
        <v>240</v>
      </c>
      <c r="BG143" s="4">
        <v>21</v>
      </c>
      <c r="BK143" s="4">
        <v>35</v>
      </c>
      <c r="BL143" s="4" t="s">
        <v>1705</v>
      </c>
      <c r="BM143" s="4" t="s">
        <v>1704</v>
      </c>
    </row>
    <row r="144" spans="4:65">
      <c r="D144" s="17" t="str">
        <f t="shared" si="27"/>
        <v>EinzelfuttermittelKatzeGemüse, Obst und Faserstoffe</v>
      </c>
      <c r="E144" s="4" t="s">
        <v>240</v>
      </c>
      <c r="F144" s="19" t="s">
        <v>90</v>
      </c>
      <c r="G144" s="4" t="s">
        <v>2855</v>
      </c>
      <c r="L144" s="27" t="s">
        <v>1706</v>
      </c>
      <c r="M144" s="4">
        <f t="shared" si="29"/>
        <v>0</v>
      </c>
      <c r="N144" s="4">
        <f t="shared" si="25"/>
        <v>6</v>
      </c>
      <c r="P144" s="4">
        <f t="shared" si="26"/>
        <v>0</v>
      </c>
      <c r="R144" s="4">
        <f t="shared" si="30"/>
        <v>4.5</v>
      </c>
      <c r="U144" s="33" t="str">
        <f t="shared" si="28"/>
        <v/>
      </c>
      <c r="BA144" s="4">
        <v>21.98</v>
      </c>
      <c r="BC144" s="4" t="s">
        <v>1706</v>
      </c>
      <c r="BD144" s="4" t="s">
        <v>1622</v>
      </c>
      <c r="BE144" s="4" t="s">
        <v>240</v>
      </c>
      <c r="BG144" s="4">
        <v>6</v>
      </c>
      <c r="BK144" s="4">
        <v>4.5</v>
      </c>
      <c r="BL144" s="4" t="s">
        <v>1710</v>
      </c>
      <c r="BM144" s="4" t="s">
        <v>1711</v>
      </c>
    </row>
    <row r="145" spans="4:65">
      <c r="D145" s="17" t="str">
        <f t="shared" si="27"/>
        <v>EinzelfuttermittelKatzeGemüse, Obst und Faserstoffe</v>
      </c>
      <c r="E145" s="4" t="s">
        <v>240</v>
      </c>
      <c r="F145" s="19" t="s">
        <v>90</v>
      </c>
      <c r="G145" s="4" t="s">
        <v>2855</v>
      </c>
      <c r="L145" s="27" t="s">
        <v>2880</v>
      </c>
      <c r="M145" s="4">
        <f t="shared" si="29"/>
        <v>0</v>
      </c>
      <c r="N145" s="4">
        <f t="shared" si="25"/>
        <v>6</v>
      </c>
      <c r="P145" s="4">
        <f t="shared" si="26"/>
        <v>0</v>
      </c>
      <c r="R145" s="4">
        <f t="shared" si="30"/>
        <v>4.5</v>
      </c>
      <c r="U145" s="33" t="str">
        <f t="shared" si="28"/>
        <v/>
      </c>
      <c r="BA145" s="4">
        <v>27.98</v>
      </c>
      <c r="BC145" s="4" t="s">
        <v>1707</v>
      </c>
      <c r="BD145" s="4" t="s">
        <v>1622</v>
      </c>
      <c r="BE145" s="4" t="s">
        <v>240</v>
      </c>
      <c r="BG145" s="4">
        <v>6</v>
      </c>
      <c r="BK145" s="4">
        <v>4.5</v>
      </c>
      <c r="BL145" s="4" t="s">
        <v>1712</v>
      </c>
      <c r="BM145" s="4" t="s">
        <v>1713</v>
      </c>
    </row>
    <row r="146" spans="4:65">
      <c r="D146" s="17" t="str">
        <f t="shared" si="27"/>
        <v>EinzelfuttermittelKatzeGemüse, Obst und Faserstoffe</v>
      </c>
      <c r="E146" s="4" t="s">
        <v>240</v>
      </c>
      <c r="F146" s="19" t="s">
        <v>90</v>
      </c>
      <c r="G146" s="4" t="s">
        <v>2855</v>
      </c>
      <c r="L146" s="4" t="s">
        <v>2881</v>
      </c>
      <c r="M146" s="4">
        <f t="shared" si="29"/>
        <v>13.8</v>
      </c>
      <c r="N146" s="4">
        <f t="shared" si="25"/>
        <v>18.5</v>
      </c>
      <c r="P146" s="4">
        <f t="shared" si="26"/>
        <v>0.8</v>
      </c>
      <c r="R146" s="4">
        <f t="shared" si="30"/>
        <v>25</v>
      </c>
      <c r="U146" s="33" t="str">
        <f t="shared" si="28"/>
        <v/>
      </c>
      <c r="BA146" s="4">
        <v>25.56</v>
      </c>
      <c r="BC146" s="4" t="s">
        <v>1708</v>
      </c>
      <c r="BD146" s="4" t="s">
        <v>1622</v>
      </c>
      <c r="BE146" s="4" t="s">
        <v>240</v>
      </c>
      <c r="BF146" s="4">
        <v>13.8</v>
      </c>
      <c r="BG146" s="4">
        <v>18.5</v>
      </c>
      <c r="BI146" s="4">
        <v>0.8</v>
      </c>
      <c r="BK146" s="4">
        <v>25</v>
      </c>
      <c r="BL146" s="4" t="s">
        <v>1714</v>
      </c>
      <c r="BM146" s="4" t="s">
        <v>1715</v>
      </c>
    </row>
    <row r="147" spans="4:65">
      <c r="D147" s="17" t="str">
        <f t="shared" si="27"/>
        <v>EinzelfuttermittelKatzeGemüse, Obst und Faserstoffe</v>
      </c>
      <c r="E147" s="4" t="s">
        <v>240</v>
      </c>
      <c r="F147" s="19" t="s">
        <v>90</v>
      </c>
      <c r="G147" s="4" t="s">
        <v>2855</v>
      </c>
      <c r="L147" s="4" t="s">
        <v>2881</v>
      </c>
      <c r="M147" s="4">
        <f t="shared" si="29"/>
        <v>0</v>
      </c>
      <c r="N147" s="4">
        <f t="shared" si="25"/>
        <v>6</v>
      </c>
      <c r="P147" s="4">
        <f t="shared" si="26"/>
        <v>0</v>
      </c>
      <c r="R147" s="4">
        <f t="shared" si="30"/>
        <v>4.5</v>
      </c>
      <c r="U147" s="33" t="str">
        <f t="shared" si="28"/>
        <v/>
      </c>
      <c r="BA147" s="4">
        <v>21.98</v>
      </c>
      <c r="BC147" s="4" t="s">
        <v>1709</v>
      </c>
      <c r="BD147" s="4" t="s">
        <v>1622</v>
      </c>
      <c r="BE147" s="4" t="s">
        <v>240</v>
      </c>
      <c r="BG147" s="4">
        <v>6</v>
      </c>
      <c r="BK147" s="4">
        <v>4.5</v>
      </c>
      <c r="BL147" s="4" t="s">
        <v>1714</v>
      </c>
      <c r="BM147" s="4" t="s">
        <v>1716</v>
      </c>
    </row>
    <row r="148" spans="4:65">
      <c r="D148" s="17" t="str">
        <f t="shared" si="27"/>
        <v>EinzelfuttermittelKatzeGemüse, Obst und Faserstoffe</v>
      </c>
      <c r="E148" s="4" t="s">
        <v>240</v>
      </c>
      <c r="F148" s="19" t="s">
        <v>90</v>
      </c>
      <c r="G148" s="4" t="s">
        <v>2855</v>
      </c>
      <c r="L148" s="27" t="s">
        <v>1717</v>
      </c>
      <c r="M148" s="4">
        <f t="shared" si="29"/>
        <v>0</v>
      </c>
      <c r="N148" s="4">
        <f t="shared" si="25"/>
        <v>6</v>
      </c>
      <c r="P148" s="4">
        <f t="shared" si="26"/>
        <v>0</v>
      </c>
      <c r="R148" s="4">
        <f t="shared" si="30"/>
        <v>4.5</v>
      </c>
      <c r="U148" s="33" t="str">
        <f t="shared" si="28"/>
        <v/>
      </c>
      <c r="BA148" s="4">
        <v>27.98</v>
      </c>
      <c r="BC148" s="4" t="s">
        <v>1717</v>
      </c>
      <c r="BD148" s="4" t="s">
        <v>1622</v>
      </c>
      <c r="BE148" s="4" t="s">
        <v>240</v>
      </c>
      <c r="BG148" s="4">
        <v>6</v>
      </c>
      <c r="BK148" s="4">
        <v>4.5</v>
      </c>
      <c r="BL148" s="4" t="s">
        <v>1717</v>
      </c>
      <c r="BM148" s="4" t="s">
        <v>1720</v>
      </c>
    </row>
    <row r="149" spans="4:65">
      <c r="D149" s="17" t="str">
        <f t="shared" si="27"/>
        <v>EinzelfuttermittelKatzeGemüse, Obst und Faserstoffe</v>
      </c>
      <c r="E149" s="4" t="s">
        <v>240</v>
      </c>
      <c r="F149" s="19" t="s">
        <v>90</v>
      </c>
      <c r="G149" s="4" t="s">
        <v>2855</v>
      </c>
      <c r="L149" s="27" t="s">
        <v>1718</v>
      </c>
      <c r="M149" s="4">
        <f t="shared" si="29"/>
        <v>0</v>
      </c>
      <c r="N149" s="4">
        <f t="shared" si="25"/>
        <v>6</v>
      </c>
      <c r="P149" s="4">
        <f t="shared" si="26"/>
        <v>0</v>
      </c>
      <c r="R149" s="4">
        <f t="shared" si="30"/>
        <v>4.5</v>
      </c>
      <c r="U149" s="33" t="str">
        <f t="shared" si="28"/>
        <v/>
      </c>
      <c r="BA149" s="4">
        <v>29.98</v>
      </c>
      <c r="BC149" s="4" t="s">
        <v>1718</v>
      </c>
      <c r="BD149" s="4" t="s">
        <v>1622</v>
      </c>
      <c r="BE149" s="4" t="s">
        <v>240</v>
      </c>
      <c r="BG149" s="4">
        <v>6</v>
      </c>
      <c r="BK149" s="4">
        <v>4.5</v>
      </c>
      <c r="BL149" s="4" t="s">
        <v>1718</v>
      </c>
      <c r="BM149" s="4" t="s">
        <v>1721</v>
      </c>
    </row>
    <row r="150" spans="4:65">
      <c r="D150" s="17" t="str">
        <f t="shared" si="27"/>
        <v>EinzelfuttermittelKatzeGemüse, Obst und Faserstoffe</v>
      </c>
      <c r="E150" s="4" t="s">
        <v>240</v>
      </c>
      <c r="F150" s="19" t="s">
        <v>90</v>
      </c>
      <c r="G150" s="4" t="s">
        <v>2855</v>
      </c>
      <c r="L150" s="4" t="s">
        <v>2882</v>
      </c>
      <c r="M150" s="4">
        <f t="shared" si="29"/>
        <v>0</v>
      </c>
      <c r="N150" s="4">
        <f t="shared" si="25"/>
        <v>0</v>
      </c>
      <c r="P150" s="4">
        <f t="shared" si="26"/>
        <v>0</v>
      </c>
      <c r="R150" s="4">
        <f t="shared" si="30"/>
        <v>0</v>
      </c>
      <c r="U150" s="33" t="str">
        <f t="shared" si="28"/>
        <v/>
      </c>
      <c r="BA150" s="4">
        <v>23.98</v>
      </c>
      <c r="BB150" s="4">
        <v>3</v>
      </c>
      <c r="BC150" s="4" t="s">
        <v>536</v>
      </c>
      <c r="BD150" s="4" t="s">
        <v>1622</v>
      </c>
      <c r="BE150" s="4" t="s">
        <v>240</v>
      </c>
      <c r="BL150" s="4" t="s">
        <v>1723</v>
      </c>
      <c r="BM150" s="4" t="s">
        <v>1722</v>
      </c>
    </row>
    <row r="151" spans="4:65">
      <c r="D151" s="17" t="str">
        <f t="shared" si="27"/>
        <v>EinzelfuttermittelKatzeGemüse, Obst und Faserstoffe</v>
      </c>
      <c r="E151" s="4" t="s">
        <v>240</v>
      </c>
      <c r="F151" s="19" t="s">
        <v>90</v>
      </c>
      <c r="G151" s="4" t="s">
        <v>2855</v>
      </c>
      <c r="L151" s="27" t="s">
        <v>1719</v>
      </c>
      <c r="M151" s="4">
        <f t="shared" si="29"/>
        <v>0</v>
      </c>
      <c r="N151" s="4">
        <f t="shared" si="25"/>
        <v>6</v>
      </c>
      <c r="P151" s="4">
        <f t="shared" si="26"/>
        <v>0</v>
      </c>
      <c r="R151" s="4">
        <f t="shared" si="30"/>
        <v>4.5</v>
      </c>
      <c r="U151" s="33" t="str">
        <f t="shared" si="28"/>
        <v/>
      </c>
      <c r="BA151" s="4">
        <v>28.58</v>
      </c>
      <c r="BC151" s="4" t="s">
        <v>1719</v>
      </c>
      <c r="BD151" s="4" t="s">
        <v>1622</v>
      </c>
      <c r="BE151" s="4" t="s">
        <v>240</v>
      </c>
      <c r="BG151" s="4">
        <v>6</v>
      </c>
      <c r="BK151" s="4">
        <v>4.5</v>
      </c>
      <c r="BL151" s="4" t="s">
        <v>1719</v>
      </c>
      <c r="BM151" s="4" t="s">
        <v>1724</v>
      </c>
    </row>
    <row r="152" spans="4:65">
      <c r="D152" s="17" t="str">
        <f t="shared" si="27"/>
        <v>EinzelfuttermittelKatzeMineralstoffe</v>
      </c>
      <c r="E152" s="4" t="s">
        <v>240</v>
      </c>
      <c r="F152" s="19" t="s">
        <v>90</v>
      </c>
      <c r="G152" s="4" t="s">
        <v>437</v>
      </c>
      <c r="L152" s="4" t="s">
        <v>2870</v>
      </c>
      <c r="M152" s="4">
        <f t="shared" si="29"/>
        <v>0</v>
      </c>
      <c r="N152" s="4">
        <f t="shared" si="25"/>
        <v>0</v>
      </c>
      <c r="P152" s="4">
        <f t="shared" si="26"/>
        <v>0</v>
      </c>
      <c r="R152" s="4">
        <f t="shared" si="30"/>
        <v>0</v>
      </c>
      <c r="U152" s="33" t="str">
        <f t="shared" si="28"/>
        <v/>
      </c>
      <c r="BA152" s="4">
        <v>19.5</v>
      </c>
      <c r="BB152" s="4">
        <v>0.5</v>
      </c>
      <c r="BC152" s="4" t="s">
        <v>343</v>
      </c>
      <c r="BD152" s="4" t="s">
        <v>1725</v>
      </c>
      <c r="BE152" s="4" t="s">
        <v>240</v>
      </c>
      <c r="BL152" s="4" t="s">
        <v>1727</v>
      </c>
      <c r="BM152" s="4" t="s">
        <v>1726</v>
      </c>
    </row>
    <row r="153" spans="4:65">
      <c r="D153" s="17" t="str">
        <f t="shared" si="27"/>
        <v>EinzelfuttermittelKatzeFleisch-, Fisch- und Algenprodukte</v>
      </c>
      <c r="E153" s="4" t="s">
        <v>240</v>
      </c>
      <c r="F153" s="19" t="s">
        <v>90</v>
      </c>
      <c r="G153" s="4" t="s">
        <v>2854</v>
      </c>
      <c r="L153" s="4" t="s">
        <v>2864</v>
      </c>
      <c r="M153" s="4">
        <f t="shared" si="29"/>
        <v>0</v>
      </c>
      <c r="N153" s="4">
        <f t="shared" si="25"/>
        <v>60</v>
      </c>
      <c r="P153" s="4">
        <f t="shared" si="26"/>
        <v>4</v>
      </c>
      <c r="R153" s="4">
        <f t="shared" si="30"/>
        <v>0</v>
      </c>
      <c r="U153" s="33" t="str">
        <f t="shared" si="28"/>
        <v/>
      </c>
      <c r="BA153" s="4">
        <v>108.4</v>
      </c>
      <c r="BB153" s="4">
        <v>0.5</v>
      </c>
      <c r="BC153" s="4" t="s">
        <v>92</v>
      </c>
      <c r="BD153" s="4" t="s">
        <v>1725</v>
      </c>
      <c r="BE153" s="4" t="s">
        <v>240</v>
      </c>
      <c r="BG153" s="4">
        <v>60</v>
      </c>
      <c r="BI153" s="4">
        <v>4</v>
      </c>
      <c r="BL153" s="4" t="s">
        <v>1730</v>
      </c>
      <c r="BM153" s="4" t="s">
        <v>1729</v>
      </c>
    </row>
    <row r="154" spans="4:65">
      <c r="D154" s="17" t="str">
        <f t="shared" si="27"/>
        <v>EinzelfuttermittelKatzeGemüse, Obst und Faserstoffe</v>
      </c>
      <c r="E154" s="4" t="s">
        <v>240</v>
      </c>
      <c r="F154" s="19" t="s">
        <v>90</v>
      </c>
      <c r="G154" s="4" t="s">
        <v>2855</v>
      </c>
      <c r="L154" s="27" t="s">
        <v>1736</v>
      </c>
      <c r="M154" s="4">
        <f t="shared" si="29"/>
        <v>3.9</v>
      </c>
      <c r="N154" s="4">
        <f t="shared" si="25"/>
        <v>3.9</v>
      </c>
      <c r="P154" s="4">
        <f t="shared" si="26"/>
        <v>8</v>
      </c>
      <c r="R154" s="4">
        <f t="shared" si="30"/>
        <v>0</v>
      </c>
      <c r="S154" s="4">
        <v>620</v>
      </c>
      <c r="T154" s="4">
        <v>64</v>
      </c>
      <c r="U154" s="33">
        <f t="shared" si="28"/>
        <v>9.6875</v>
      </c>
      <c r="BA154" s="4">
        <v>513.33000000000004</v>
      </c>
      <c r="BC154" s="4" t="s">
        <v>1736</v>
      </c>
      <c r="BD154" s="4" t="s">
        <v>1733</v>
      </c>
      <c r="BE154" s="4" t="s">
        <v>240</v>
      </c>
      <c r="BF154" s="4">
        <v>3.9</v>
      </c>
      <c r="BG154" s="4">
        <v>3.9</v>
      </c>
      <c r="BI154" s="4">
        <v>8</v>
      </c>
      <c r="BL154" s="4" t="s">
        <v>1738</v>
      </c>
      <c r="BM154" s="4" t="s">
        <v>1737</v>
      </c>
    </row>
    <row r="155" spans="4:65">
      <c r="D155" s="17" t="str">
        <f t="shared" si="27"/>
        <v>EinzelfuttermittelKatzeInnereien, TNPs, Schlachtabfälle und Tiermehle</v>
      </c>
      <c r="E155" s="4" t="s">
        <v>240</v>
      </c>
      <c r="F155" s="19" t="s">
        <v>90</v>
      </c>
      <c r="G155" s="4" t="s">
        <v>2852</v>
      </c>
      <c r="L155" s="4" t="s">
        <v>2883</v>
      </c>
      <c r="M155" s="4">
        <f t="shared" si="29"/>
        <v>0</v>
      </c>
      <c r="N155" s="4">
        <f t="shared" si="25"/>
        <v>91</v>
      </c>
      <c r="P155" s="4">
        <f t="shared" si="26"/>
        <v>0</v>
      </c>
      <c r="R155" s="4">
        <f t="shared" si="30"/>
        <v>0</v>
      </c>
      <c r="U155" s="33" t="str">
        <f t="shared" si="28"/>
        <v/>
      </c>
      <c r="BA155" s="4">
        <v>33.17</v>
      </c>
      <c r="BB155" s="4">
        <v>0.8</v>
      </c>
      <c r="BC155" s="4" t="s">
        <v>1743</v>
      </c>
      <c r="BD155" s="4" t="s">
        <v>1725</v>
      </c>
      <c r="BE155" s="4" t="s">
        <v>240</v>
      </c>
      <c r="BG155" s="4">
        <v>91</v>
      </c>
      <c r="BL155" s="4" t="s">
        <v>1744</v>
      </c>
      <c r="BM155" s="4" t="s">
        <v>1745</v>
      </c>
    </row>
    <row r="156" spans="4:65">
      <c r="D156" s="17" t="str">
        <f t="shared" si="27"/>
        <v>EinzelfuttermittelKatzeMineralstoffe</v>
      </c>
      <c r="E156" s="4" t="s">
        <v>240</v>
      </c>
      <c r="F156" s="19" t="s">
        <v>90</v>
      </c>
      <c r="G156" s="32" t="s">
        <v>437</v>
      </c>
      <c r="L156" s="4" t="s">
        <v>3215</v>
      </c>
      <c r="M156" s="4">
        <f t="shared" si="29"/>
        <v>0</v>
      </c>
      <c r="N156" s="4">
        <f t="shared" si="25"/>
        <v>0</v>
      </c>
      <c r="P156" s="4">
        <f t="shared" si="26"/>
        <v>0</v>
      </c>
      <c r="R156" s="4">
        <f t="shared" si="30"/>
        <v>0</v>
      </c>
      <c r="U156" s="33" t="str">
        <f t="shared" si="28"/>
        <v/>
      </c>
      <c r="BA156" s="4">
        <v>45</v>
      </c>
      <c r="BB156" s="4">
        <v>10</v>
      </c>
      <c r="BC156" s="4" t="s">
        <v>1746</v>
      </c>
      <c r="BD156" s="4" t="s">
        <v>1733</v>
      </c>
      <c r="BE156" s="4" t="s">
        <v>240</v>
      </c>
      <c r="BL156" s="4" t="s">
        <v>1748</v>
      </c>
      <c r="BM156" s="4" t="s">
        <v>1747</v>
      </c>
    </row>
    <row r="157" spans="4:65">
      <c r="D157" s="17" t="str">
        <f t="shared" si="27"/>
        <v>EinzelfuttermittelKatzeGemüse, Obst und Faserstoffe</v>
      </c>
      <c r="E157" s="4" t="s">
        <v>240</v>
      </c>
      <c r="F157" s="19" t="s">
        <v>90</v>
      </c>
      <c r="G157" s="32" t="s">
        <v>2855</v>
      </c>
      <c r="L157" s="4" t="s">
        <v>2867</v>
      </c>
      <c r="M157" s="4">
        <f t="shared" si="29"/>
        <v>7</v>
      </c>
      <c r="N157" s="4">
        <f t="shared" si="25"/>
        <v>46</v>
      </c>
      <c r="P157" s="4">
        <f t="shared" si="26"/>
        <v>3</v>
      </c>
      <c r="R157" s="4">
        <f t="shared" si="30"/>
        <v>0</v>
      </c>
      <c r="S157" s="4">
        <v>300</v>
      </c>
      <c r="T157" s="4">
        <v>1300</v>
      </c>
      <c r="U157" s="33">
        <f t="shared" si="28"/>
        <v>0.23076923076923078</v>
      </c>
      <c r="X157" s="4">
        <v>100</v>
      </c>
      <c r="AO157" s="4">
        <v>4</v>
      </c>
      <c r="AP157" s="4">
        <v>4.5</v>
      </c>
      <c r="AQ157" s="4">
        <v>2</v>
      </c>
      <c r="AR157" s="4">
        <v>8</v>
      </c>
      <c r="AS157" s="4">
        <v>75</v>
      </c>
      <c r="BA157" s="4">
        <v>24.95</v>
      </c>
      <c r="BC157" s="4" t="s">
        <v>524</v>
      </c>
      <c r="BD157" s="4" t="s">
        <v>1769</v>
      </c>
      <c r="BE157" s="4" t="s">
        <v>240</v>
      </c>
      <c r="BF157" s="4">
        <v>7</v>
      </c>
      <c r="BG157" s="4">
        <v>46</v>
      </c>
      <c r="BI157" s="4">
        <v>3</v>
      </c>
      <c r="BL157" s="4" t="s">
        <v>1771</v>
      </c>
      <c r="BM157" s="4" t="s">
        <v>1770</v>
      </c>
    </row>
    <row r="158" spans="4:65">
      <c r="D158" s="17" t="str">
        <f t="shared" si="27"/>
        <v>EinzelfuttermittelKatzeFleisch-, Fisch- und Algenprodukte</v>
      </c>
      <c r="E158" s="4" t="s">
        <v>240</v>
      </c>
      <c r="F158" s="19" t="s">
        <v>90</v>
      </c>
      <c r="G158" s="4" t="s">
        <v>2854</v>
      </c>
      <c r="L158" s="4" t="s">
        <v>220</v>
      </c>
      <c r="M158" s="4">
        <f t="shared" si="29"/>
        <v>24.6</v>
      </c>
      <c r="N158" s="4">
        <f t="shared" si="25"/>
        <v>6.9</v>
      </c>
      <c r="P158" s="4">
        <f t="shared" si="26"/>
        <v>3.1</v>
      </c>
      <c r="R158" s="4">
        <f t="shared" si="30"/>
        <v>8.1</v>
      </c>
      <c r="U158" s="33" t="str">
        <f t="shared" si="28"/>
        <v/>
      </c>
      <c r="AD158" s="4">
        <v>87000</v>
      </c>
      <c r="BA158" s="4">
        <v>26.88</v>
      </c>
      <c r="BC158" s="4" t="s">
        <v>1776</v>
      </c>
      <c r="BD158" s="4" t="s">
        <v>1769</v>
      </c>
      <c r="BE158" s="4" t="s">
        <v>240</v>
      </c>
      <c r="BF158" s="4">
        <v>24.6</v>
      </c>
      <c r="BG158" s="4">
        <v>6.9</v>
      </c>
      <c r="BI158" s="4">
        <v>3.1</v>
      </c>
      <c r="BK158" s="4">
        <v>8.1</v>
      </c>
      <c r="BL158" s="4" t="s">
        <v>1778</v>
      </c>
      <c r="BM158" s="4" t="s">
        <v>1777</v>
      </c>
    </row>
    <row r="159" spans="4:65">
      <c r="D159" s="17" t="str">
        <f t="shared" si="27"/>
        <v>EinzelfuttermittelKatzeMineralstoffe</v>
      </c>
      <c r="E159" s="4" t="s">
        <v>240</v>
      </c>
      <c r="F159" s="19" t="s">
        <v>90</v>
      </c>
      <c r="G159" s="4" t="s">
        <v>437</v>
      </c>
      <c r="L159" s="4" t="s">
        <v>480</v>
      </c>
      <c r="M159" s="4">
        <f t="shared" si="29"/>
        <v>0</v>
      </c>
      <c r="N159" s="4">
        <f t="shared" si="25"/>
        <v>0</v>
      </c>
      <c r="P159" s="4">
        <f t="shared" si="26"/>
        <v>0</v>
      </c>
      <c r="R159" s="4">
        <f t="shared" si="30"/>
        <v>0</v>
      </c>
      <c r="S159" s="4">
        <v>24000</v>
      </c>
      <c r="T159" s="4">
        <v>18200</v>
      </c>
      <c r="U159" s="33">
        <f t="shared" si="28"/>
        <v>1.3186813186813187</v>
      </c>
      <c r="BA159" s="4">
        <v>17.98</v>
      </c>
      <c r="BC159" s="4" t="s">
        <v>480</v>
      </c>
      <c r="BD159" s="4" t="s">
        <v>1769</v>
      </c>
      <c r="BE159" s="4" t="s">
        <v>240</v>
      </c>
      <c r="BL159" s="4" t="s">
        <v>1789</v>
      </c>
      <c r="BM159" s="4" t="s">
        <v>1790</v>
      </c>
    </row>
    <row r="160" spans="4:65">
      <c r="D160" s="17" t="str">
        <f t="shared" si="27"/>
        <v>EinzelfuttermittelKatzeMineralstoffe</v>
      </c>
      <c r="E160" s="4" t="s">
        <v>240</v>
      </c>
      <c r="F160" s="19" t="s">
        <v>90</v>
      </c>
      <c r="G160" s="4" t="s">
        <v>437</v>
      </c>
      <c r="L160" s="4" t="s">
        <v>1038</v>
      </c>
      <c r="M160" s="4">
        <f t="shared" si="29"/>
        <v>0</v>
      </c>
      <c r="N160" s="4">
        <f t="shared" ref="N160:N182" si="31">BG160</f>
        <v>0</v>
      </c>
      <c r="P160" s="4">
        <f t="shared" ref="P160:P182" si="32">BI160</f>
        <v>0</v>
      </c>
      <c r="R160" s="4">
        <f t="shared" si="30"/>
        <v>0</v>
      </c>
      <c r="S160" s="4">
        <v>36000</v>
      </c>
      <c r="T160" s="4">
        <v>1</v>
      </c>
      <c r="U160" s="33">
        <f t="shared" si="28"/>
        <v>36000</v>
      </c>
      <c r="BA160" s="4">
        <v>8.51</v>
      </c>
      <c r="BC160" s="4" t="s">
        <v>1038</v>
      </c>
      <c r="BD160" s="4" t="s">
        <v>1769</v>
      </c>
      <c r="BE160" s="4" t="s">
        <v>240</v>
      </c>
      <c r="BL160" s="4" t="s">
        <v>1801</v>
      </c>
      <c r="BM160" s="4" t="s">
        <v>1802</v>
      </c>
    </row>
    <row r="161" spans="4:65">
      <c r="D161" s="17" t="str">
        <f t="shared" si="27"/>
        <v>EinzelfuttermittelKatzeGemüse, Obst und Faserstoffe</v>
      </c>
      <c r="E161" s="4" t="s">
        <v>240</v>
      </c>
      <c r="F161" s="19" t="s">
        <v>90</v>
      </c>
      <c r="G161" s="32" t="s">
        <v>2855</v>
      </c>
      <c r="L161" s="4" t="s">
        <v>2867</v>
      </c>
      <c r="M161" s="4">
        <f t="shared" si="29"/>
        <v>0</v>
      </c>
      <c r="N161" s="4">
        <f t="shared" si="31"/>
        <v>0</v>
      </c>
      <c r="P161" s="4">
        <f t="shared" si="32"/>
        <v>0</v>
      </c>
      <c r="R161" s="4">
        <f t="shared" si="30"/>
        <v>0</v>
      </c>
      <c r="U161" s="33" t="str">
        <f t="shared" si="28"/>
        <v/>
      </c>
      <c r="BA161" s="4">
        <v>14.9</v>
      </c>
      <c r="BB161" s="4">
        <v>3</v>
      </c>
      <c r="BC161" s="4" t="s">
        <v>524</v>
      </c>
      <c r="BD161" s="4" t="s">
        <v>1826</v>
      </c>
      <c r="BE161" s="4" t="s">
        <v>240</v>
      </c>
      <c r="BL161" s="4" t="s">
        <v>1830</v>
      </c>
      <c r="BM161" s="4" t="s">
        <v>1829</v>
      </c>
    </row>
    <row r="162" spans="4:65">
      <c r="D162" s="17" t="str">
        <f t="shared" si="27"/>
        <v>EinzelfuttermittelKatzeGemüse, Obst und Faserstoffe</v>
      </c>
      <c r="E162" s="4" t="s">
        <v>240</v>
      </c>
      <c r="F162" s="19" t="s">
        <v>90</v>
      </c>
      <c r="G162" s="4" t="s">
        <v>2855</v>
      </c>
      <c r="L162" s="27" t="s">
        <v>334</v>
      </c>
      <c r="M162" s="4">
        <f t="shared" si="29"/>
        <v>0</v>
      </c>
      <c r="N162" s="4">
        <f t="shared" si="31"/>
        <v>0</v>
      </c>
      <c r="P162" s="4">
        <f t="shared" si="32"/>
        <v>0</v>
      </c>
      <c r="R162" s="4">
        <f t="shared" si="30"/>
        <v>0</v>
      </c>
      <c r="U162" s="33" t="str">
        <f t="shared" si="28"/>
        <v/>
      </c>
      <c r="BA162" s="4">
        <v>27.9</v>
      </c>
      <c r="BB162" s="4">
        <v>0.08</v>
      </c>
      <c r="BC162" s="4" t="s">
        <v>1834</v>
      </c>
      <c r="BD162" s="4" t="s">
        <v>1826</v>
      </c>
      <c r="BE162" s="4" t="s">
        <v>240</v>
      </c>
      <c r="BL162" s="4" t="s">
        <v>1836</v>
      </c>
      <c r="BM162" s="4" t="s">
        <v>1835</v>
      </c>
    </row>
    <row r="163" spans="4:65">
      <c r="D163" s="17" t="str">
        <f t="shared" si="27"/>
        <v>EinzelfuttermittelKatzeFleisch-, Fisch- und Algenprodukte</v>
      </c>
      <c r="E163" s="4" t="s">
        <v>240</v>
      </c>
      <c r="F163" s="19" t="s">
        <v>90</v>
      </c>
      <c r="G163" s="4" t="s">
        <v>2854</v>
      </c>
      <c r="L163" s="4" t="s">
        <v>2860</v>
      </c>
      <c r="M163" s="4">
        <f t="shared" si="29"/>
        <v>0</v>
      </c>
      <c r="N163" s="4">
        <f t="shared" si="31"/>
        <v>0</v>
      </c>
      <c r="P163" s="4">
        <f t="shared" si="32"/>
        <v>0</v>
      </c>
      <c r="R163" s="4">
        <f t="shared" si="30"/>
        <v>0</v>
      </c>
      <c r="S163" s="4">
        <v>32000</v>
      </c>
      <c r="T163" s="4">
        <v>80</v>
      </c>
      <c r="U163" s="33">
        <f t="shared" si="28"/>
        <v>400</v>
      </c>
      <c r="V163" s="4">
        <v>2000</v>
      </c>
      <c r="BA163" s="4">
        <v>23.8</v>
      </c>
      <c r="BB163" s="4">
        <v>1.5</v>
      </c>
      <c r="BC163" s="4" t="s">
        <v>473</v>
      </c>
      <c r="BD163" s="4" t="s">
        <v>1826</v>
      </c>
      <c r="BE163" s="4" t="s">
        <v>240</v>
      </c>
      <c r="BL163" s="4" t="s">
        <v>1859</v>
      </c>
      <c r="BM163" s="4" t="s">
        <v>1858</v>
      </c>
    </row>
    <row r="164" spans="4:65">
      <c r="D164" s="17" t="str">
        <f t="shared" ref="D164:D183" si="33">E164&amp;""&amp;F164&amp;""&amp;G164&amp;""&amp;H164</f>
        <v>EinzelfuttermittelKatzeEi- und Milchprodukte</v>
      </c>
      <c r="E164" s="4" t="s">
        <v>240</v>
      </c>
      <c r="F164" s="19" t="s">
        <v>90</v>
      </c>
      <c r="G164" s="4" t="s">
        <v>2856</v>
      </c>
      <c r="L164" s="4" t="s">
        <v>2858</v>
      </c>
      <c r="M164" s="4">
        <f t="shared" si="29"/>
        <v>0</v>
      </c>
      <c r="N164" s="4">
        <f t="shared" si="31"/>
        <v>0</v>
      </c>
      <c r="P164" s="4">
        <f t="shared" si="32"/>
        <v>0</v>
      </c>
      <c r="R164" s="4">
        <f t="shared" si="30"/>
        <v>0</v>
      </c>
      <c r="S164" s="4">
        <v>38800</v>
      </c>
      <c r="T164" s="4">
        <v>960</v>
      </c>
      <c r="U164" s="33">
        <f t="shared" si="28"/>
        <v>40.416666666666664</v>
      </c>
      <c r="BA164" s="4">
        <v>33.4</v>
      </c>
      <c r="BC164" s="4" t="s">
        <v>476</v>
      </c>
      <c r="BD164" s="4" t="s">
        <v>1826</v>
      </c>
      <c r="BE164" s="4" t="s">
        <v>240</v>
      </c>
      <c r="BL164" s="4" t="s">
        <v>1861</v>
      </c>
      <c r="BM164" s="4" t="s">
        <v>1860</v>
      </c>
    </row>
    <row r="165" spans="4:65">
      <c r="D165" s="17" t="str">
        <f t="shared" si="33"/>
        <v>EinzelfuttermittelKatzeMineralstoffe</v>
      </c>
      <c r="E165" s="4" t="s">
        <v>240</v>
      </c>
      <c r="F165" s="19" t="s">
        <v>90</v>
      </c>
      <c r="G165" s="4" t="s">
        <v>437</v>
      </c>
      <c r="L165" s="4" t="s">
        <v>480</v>
      </c>
      <c r="M165" s="4">
        <f t="shared" si="29"/>
        <v>0</v>
      </c>
      <c r="N165" s="4">
        <f t="shared" si="31"/>
        <v>0</v>
      </c>
      <c r="P165" s="4">
        <f t="shared" si="32"/>
        <v>0</v>
      </c>
      <c r="R165" s="4">
        <f t="shared" si="30"/>
        <v>0</v>
      </c>
      <c r="S165" s="4">
        <v>27000</v>
      </c>
      <c r="T165" s="4">
        <v>18000</v>
      </c>
      <c r="U165" s="33">
        <f t="shared" si="28"/>
        <v>1.5</v>
      </c>
      <c r="BA165" s="4">
        <v>27.6</v>
      </c>
      <c r="BC165" s="4" t="s">
        <v>480</v>
      </c>
      <c r="BD165" s="4" t="s">
        <v>1826</v>
      </c>
      <c r="BE165" s="4" t="s">
        <v>240</v>
      </c>
      <c r="BL165" s="4" t="s">
        <v>1863</v>
      </c>
      <c r="BM165" s="4" t="s">
        <v>1862</v>
      </c>
    </row>
    <row r="166" spans="4:65">
      <c r="D166" s="17" t="str">
        <f t="shared" si="33"/>
        <v>EinzelfuttermittelKatzeInnereien, TNPs, Schlachtabfälle und Tiermehle</v>
      </c>
      <c r="E166" s="4" t="s">
        <v>240</v>
      </c>
      <c r="F166" s="19" t="s">
        <v>90</v>
      </c>
      <c r="G166" s="4" t="s">
        <v>2852</v>
      </c>
      <c r="L166" s="4" t="s">
        <v>2853</v>
      </c>
      <c r="M166" s="4">
        <f t="shared" si="29"/>
        <v>2.1</v>
      </c>
      <c r="N166" s="4">
        <f t="shared" si="31"/>
        <v>90</v>
      </c>
      <c r="P166" s="4">
        <f t="shared" si="32"/>
        <v>0</v>
      </c>
      <c r="R166" s="4">
        <f t="shared" si="30"/>
        <v>0</v>
      </c>
      <c r="U166" s="33" t="str">
        <f t="shared" si="28"/>
        <v/>
      </c>
      <c r="Z166" s="4">
        <v>217</v>
      </c>
      <c r="BA166" s="4">
        <v>27.6</v>
      </c>
      <c r="BB166" s="4">
        <v>1.2</v>
      </c>
      <c r="BC166" s="4" t="s">
        <v>1864</v>
      </c>
      <c r="BD166" s="4" t="s">
        <v>1826</v>
      </c>
      <c r="BE166" s="4" t="s">
        <v>240</v>
      </c>
      <c r="BF166" s="4">
        <v>2.1</v>
      </c>
      <c r="BG166" s="4">
        <v>90</v>
      </c>
      <c r="BL166" s="4" t="s">
        <v>1866</v>
      </c>
      <c r="BM166" s="4" t="s">
        <v>1865</v>
      </c>
    </row>
    <row r="167" spans="4:65">
      <c r="D167" s="17" t="str">
        <f t="shared" si="33"/>
        <v>EinzelfuttermittelKatzeInnereien, TNPs, Schlachtabfälle und Tiermehle</v>
      </c>
      <c r="E167" s="4" t="s">
        <v>240</v>
      </c>
      <c r="F167" s="19" t="s">
        <v>90</v>
      </c>
      <c r="G167" s="4" t="s">
        <v>2852</v>
      </c>
      <c r="L167" s="4" t="s">
        <v>2874</v>
      </c>
      <c r="M167" s="4">
        <f t="shared" ref="M167:M182" si="34">BF167</f>
        <v>34.6</v>
      </c>
      <c r="N167" s="4">
        <f t="shared" si="31"/>
        <v>49</v>
      </c>
      <c r="P167" s="4">
        <f t="shared" si="32"/>
        <v>10.3</v>
      </c>
      <c r="R167" s="4">
        <f t="shared" ref="R167:R182" si="35">BK167</f>
        <v>0</v>
      </c>
      <c r="S167" s="4">
        <v>14500</v>
      </c>
      <c r="T167" s="4">
        <v>6790</v>
      </c>
      <c r="U167" s="33">
        <f t="shared" si="28"/>
        <v>2.1354933726067746</v>
      </c>
      <c r="BA167" s="4">
        <v>19.3</v>
      </c>
      <c r="BC167" s="4" t="s">
        <v>1605</v>
      </c>
      <c r="BD167" s="4" t="s">
        <v>1826</v>
      </c>
      <c r="BE167" s="4" t="s">
        <v>240</v>
      </c>
      <c r="BF167" s="4">
        <v>34.6</v>
      </c>
      <c r="BG167" s="4">
        <v>49</v>
      </c>
      <c r="BI167" s="4">
        <v>10.3</v>
      </c>
      <c r="BL167" s="4" t="s">
        <v>1868</v>
      </c>
      <c r="BM167" s="4" t="s">
        <v>1867</v>
      </c>
    </row>
    <row r="168" spans="4:65">
      <c r="D168" s="17" t="str">
        <f t="shared" si="33"/>
        <v>EinzelfuttermittelKatzeInnereien, TNPs, Schlachtabfälle und Tiermehle</v>
      </c>
      <c r="E168" s="4" t="s">
        <v>240</v>
      </c>
      <c r="F168" s="19" t="s">
        <v>90</v>
      </c>
      <c r="G168" s="4" t="s">
        <v>2852</v>
      </c>
      <c r="L168" s="4" t="s">
        <v>2874</v>
      </c>
      <c r="M168" s="4">
        <f t="shared" si="34"/>
        <v>38.700000000000003</v>
      </c>
      <c r="N168" s="4">
        <f t="shared" si="31"/>
        <v>45.5</v>
      </c>
      <c r="P168" s="4">
        <f t="shared" si="32"/>
        <v>11.8</v>
      </c>
      <c r="R168" s="4">
        <f t="shared" si="35"/>
        <v>0</v>
      </c>
      <c r="S168" s="4">
        <v>12400</v>
      </c>
      <c r="T168" s="4">
        <v>5800</v>
      </c>
      <c r="U168" s="33">
        <f t="shared" si="28"/>
        <v>2.1379310344827585</v>
      </c>
      <c r="BA168" s="4">
        <v>17.899999999999999</v>
      </c>
      <c r="BC168" s="4" t="s">
        <v>1600</v>
      </c>
      <c r="BD168" s="4" t="s">
        <v>1826</v>
      </c>
      <c r="BE168" s="4" t="s">
        <v>240</v>
      </c>
      <c r="BF168" s="4">
        <v>38.700000000000003</v>
      </c>
      <c r="BG168" s="4">
        <v>45.5</v>
      </c>
      <c r="BI168" s="4">
        <v>11.8</v>
      </c>
      <c r="BL168" s="4" t="s">
        <v>1870</v>
      </c>
      <c r="BM168" s="4" t="s">
        <v>1869</v>
      </c>
    </row>
    <row r="169" spans="4:65">
      <c r="D169" s="17" t="str">
        <f t="shared" si="33"/>
        <v>EinzelfuttermittelKatzeInnereien, TNPs, Schlachtabfälle und Tiermehle</v>
      </c>
      <c r="E169" s="4" t="s">
        <v>240</v>
      </c>
      <c r="F169" s="19" t="s">
        <v>90</v>
      </c>
      <c r="G169" s="4" t="s">
        <v>2852</v>
      </c>
      <c r="L169" s="4" t="s">
        <v>2874</v>
      </c>
      <c r="M169" s="4">
        <f t="shared" si="34"/>
        <v>36</v>
      </c>
      <c r="N169" s="4">
        <f t="shared" si="31"/>
        <v>47.8</v>
      </c>
      <c r="P169" s="4">
        <f t="shared" si="32"/>
        <v>12</v>
      </c>
      <c r="R169" s="4">
        <f t="shared" si="35"/>
        <v>0</v>
      </c>
      <c r="S169" s="4">
        <v>13500</v>
      </c>
      <c r="T169" s="4">
        <v>6160</v>
      </c>
      <c r="U169" s="33">
        <f t="shared" si="28"/>
        <v>2.1915584415584415</v>
      </c>
      <c r="BA169" s="4">
        <v>19.3</v>
      </c>
      <c r="BC169" s="4" t="s">
        <v>1872</v>
      </c>
      <c r="BD169" s="4" t="s">
        <v>1826</v>
      </c>
      <c r="BE169" s="4" t="s">
        <v>240</v>
      </c>
      <c r="BF169" s="4">
        <v>36</v>
      </c>
      <c r="BG169" s="4">
        <v>47.8</v>
      </c>
      <c r="BI169" s="4">
        <v>12</v>
      </c>
      <c r="BL169" s="4" t="s">
        <v>1874</v>
      </c>
      <c r="BM169" s="4" t="s">
        <v>1873</v>
      </c>
    </row>
    <row r="170" spans="4:65">
      <c r="D170" s="17" t="str">
        <f t="shared" si="33"/>
        <v>EinzelfuttermittelKatzeInnereien, TNPs, Schlachtabfälle und Tiermehle</v>
      </c>
      <c r="E170" s="4" t="s">
        <v>240</v>
      </c>
      <c r="F170" s="19" t="s">
        <v>90</v>
      </c>
      <c r="G170" s="4" t="s">
        <v>2852</v>
      </c>
      <c r="L170" s="4" t="s">
        <v>2874</v>
      </c>
      <c r="M170" s="4">
        <f t="shared" si="34"/>
        <v>39.799999999999997</v>
      </c>
      <c r="N170" s="4">
        <f t="shared" si="31"/>
        <v>50.8</v>
      </c>
      <c r="P170" s="4">
        <f t="shared" si="32"/>
        <v>6</v>
      </c>
      <c r="R170" s="4">
        <f t="shared" si="35"/>
        <v>0</v>
      </c>
      <c r="S170" s="4">
        <v>14000</v>
      </c>
      <c r="T170" s="4">
        <v>6500</v>
      </c>
      <c r="U170" s="33">
        <f t="shared" si="28"/>
        <v>2.1538461538461537</v>
      </c>
      <c r="BA170" s="4">
        <v>13.9</v>
      </c>
      <c r="BC170" s="4" t="s">
        <v>1871</v>
      </c>
      <c r="BD170" s="4" t="s">
        <v>1826</v>
      </c>
      <c r="BE170" s="4" t="s">
        <v>240</v>
      </c>
      <c r="BF170" s="4">
        <v>39.799999999999997</v>
      </c>
      <c r="BG170" s="4">
        <v>50.8</v>
      </c>
      <c r="BI170" s="4">
        <v>6</v>
      </c>
      <c r="BL170" s="4" t="s">
        <v>1876</v>
      </c>
      <c r="BM170" s="4" t="s">
        <v>1875</v>
      </c>
    </row>
    <row r="171" spans="4:65">
      <c r="D171" s="17" t="str">
        <f t="shared" si="33"/>
        <v>EinzelfuttermittelKatzeMineralstoffe</v>
      </c>
      <c r="E171" s="4" t="s">
        <v>240</v>
      </c>
      <c r="F171" s="19" t="s">
        <v>90</v>
      </c>
      <c r="G171" s="4" t="s">
        <v>437</v>
      </c>
      <c r="L171" s="4" t="s">
        <v>2870</v>
      </c>
      <c r="M171" s="4">
        <f t="shared" si="34"/>
        <v>0</v>
      </c>
      <c r="N171" s="4">
        <f t="shared" si="31"/>
        <v>0</v>
      </c>
      <c r="P171" s="4">
        <f t="shared" si="32"/>
        <v>0</v>
      </c>
      <c r="R171" s="4">
        <f t="shared" si="35"/>
        <v>0</v>
      </c>
      <c r="U171" s="33" t="str">
        <f t="shared" si="28"/>
        <v/>
      </c>
      <c r="BA171" s="4">
        <v>79.900000000000006</v>
      </c>
      <c r="BB171" s="4">
        <v>0.9</v>
      </c>
      <c r="BC171" s="4" t="s">
        <v>1883</v>
      </c>
      <c r="BD171" s="4" t="s">
        <v>1826</v>
      </c>
      <c r="BE171" s="4" t="s">
        <v>240</v>
      </c>
      <c r="BL171" s="4" t="s">
        <v>1884</v>
      </c>
      <c r="BM171" s="4" t="s">
        <v>1885</v>
      </c>
    </row>
    <row r="172" spans="4:65">
      <c r="D172" s="17" t="str">
        <f t="shared" si="33"/>
        <v>EinzelfuttermittelKatzeInnereien, TNPs, Schlachtabfälle und Tiermehle</v>
      </c>
      <c r="E172" s="4" t="s">
        <v>240</v>
      </c>
      <c r="F172" s="19" t="s">
        <v>90</v>
      </c>
      <c r="G172" s="4" t="s">
        <v>2852</v>
      </c>
      <c r="L172" s="4" t="s">
        <v>2853</v>
      </c>
      <c r="M172" s="4">
        <f t="shared" si="34"/>
        <v>3.5</v>
      </c>
      <c r="N172" s="4">
        <f t="shared" si="31"/>
        <v>92</v>
      </c>
      <c r="P172" s="4">
        <f t="shared" si="32"/>
        <v>0</v>
      </c>
      <c r="R172" s="4">
        <f t="shared" si="35"/>
        <v>0</v>
      </c>
      <c r="U172" s="33" t="str">
        <f t="shared" si="28"/>
        <v/>
      </c>
      <c r="Z172" s="4">
        <v>290</v>
      </c>
      <c r="BA172" s="4">
        <v>27.6</v>
      </c>
      <c r="BB172" s="4">
        <v>1.2</v>
      </c>
      <c r="BC172" s="4" t="s">
        <v>300</v>
      </c>
      <c r="BD172" s="4" t="s">
        <v>1826</v>
      </c>
      <c r="BE172" s="4" t="s">
        <v>240</v>
      </c>
      <c r="BF172" s="4">
        <v>3.5</v>
      </c>
      <c r="BG172" s="4">
        <v>92</v>
      </c>
      <c r="BL172" s="4" t="s">
        <v>1887</v>
      </c>
      <c r="BM172" s="4" t="s">
        <v>1886</v>
      </c>
    </row>
    <row r="173" spans="4:65">
      <c r="D173" s="17" t="str">
        <f t="shared" si="33"/>
        <v>EinzelfuttermittelKatzeMineralstoffe</v>
      </c>
      <c r="E173" s="4" t="s">
        <v>240</v>
      </c>
      <c r="F173" s="19" t="s">
        <v>90</v>
      </c>
      <c r="G173" s="4" t="s">
        <v>437</v>
      </c>
      <c r="L173" s="27" t="s">
        <v>1888</v>
      </c>
      <c r="M173" s="4">
        <f t="shared" si="34"/>
        <v>0</v>
      </c>
      <c r="N173" s="4">
        <f t="shared" si="31"/>
        <v>0</v>
      </c>
      <c r="P173" s="4">
        <f t="shared" si="32"/>
        <v>0</v>
      </c>
      <c r="R173" s="4">
        <f t="shared" si="35"/>
        <v>0</v>
      </c>
      <c r="S173" s="4">
        <v>3580</v>
      </c>
      <c r="T173" s="4">
        <v>1130</v>
      </c>
      <c r="U173" s="33">
        <f t="shared" si="28"/>
        <v>3.168141592920354</v>
      </c>
      <c r="V173" s="4">
        <v>1200</v>
      </c>
      <c r="BA173" s="4">
        <v>42.25</v>
      </c>
      <c r="BB173" s="4">
        <v>1</v>
      </c>
      <c r="BC173" s="4" t="s">
        <v>1891</v>
      </c>
      <c r="BD173" s="4" t="s">
        <v>1826</v>
      </c>
      <c r="BE173" s="4" t="s">
        <v>240</v>
      </c>
      <c r="BL173" s="4" t="s">
        <v>1890</v>
      </c>
      <c r="BM173" s="4" t="s">
        <v>1889</v>
      </c>
    </row>
    <row r="174" spans="4:65">
      <c r="D174" s="17" t="str">
        <f t="shared" si="33"/>
        <v>EinzelfuttermittelKatzeInnereien, TNPs, Schlachtabfälle und Tiermehle</v>
      </c>
      <c r="E174" s="4" t="s">
        <v>240</v>
      </c>
      <c r="F174" s="19" t="s">
        <v>90</v>
      </c>
      <c r="G174" s="4" t="s">
        <v>2852</v>
      </c>
      <c r="L174" s="4" t="s">
        <v>2874</v>
      </c>
      <c r="M174" s="4">
        <f t="shared" si="34"/>
        <v>65.8</v>
      </c>
      <c r="N174" s="4">
        <f t="shared" si="31"/>
        <v>21.1</v>
      </c>
      <c r="P174" s="4">
        <f t="shared" si="32"/>
        <v>8.9</v>
      </c>
      <c r="R174" s="4">
        <f t="shared" si="35"/>
        <v>0</v>
      </c>
      <c r="S174" s="4">
        <v>21500</v>
      </c>
      <c r="T174" s="4">
        <v>10400</v>
      </c>
      <c r="U174" s="33">
        <f t="shared" si="28"/>
        <v>2.0673076923076925</v>
      </c>
      <c r="BA174" s="4">
        <v>23.9</v>
      </c>
      <c r="BC174" s="4" t="s">
        <v>1892</v>
      </c>
      <c r="BD174" s="4" t="s">
        <v>1826</v>
      </c>
      <c r="BE174" s="4" t="s">
        <v>240</v>
      </c>
      <c r="BF174" s="4">
        <v>65.8</v>
      </c>
      <c r="BG174" s="4">
        <v>21.1</v>
      </c>
      <c r="BI174" s="4">
        <v>8.9</v>
      </c>
      <c r="BL174" s="4" t="s">
        <v>1894</v>
      </c>
      <c r="BM174" s="4" t="s">
        <v>1893</v>
      </c>
    </row>
    <row r="175" spans="4:65">
      <c r="D175" s="17" t="str">
        <f t="shared" si="33"/>
        <v>EinzelfuttermittelKatzeGemüse, Obst und Faserstoffe</v>
      </c>
      <c r="E175" s="4" t="s">
        <v>240</v>
      </c>
      <c r="F175" s="19" t="s">
        <v>90</v>
      </c>
      <c r="G175" s="4" t="s">
        <v>2855</v>
      </c>
      <c r="L175" s="27" t="s">
        <v>3216</v>
      </c>
      <c r="M175" s="4">
        <f t="shared" si="34"/>
        <v>0</v>
      </c>
      <c r="N175" s="4">
        <f t="shared" si="31"/>
        <v>0</v>
      </c>
      <c r="P175" s="4">
        <f t="shared" si="32"/>
        <v>0</v>
      </c>
      <c r="R175" s="4">
        <f t="shared" si="35"/>
        <v>0</v>
      </c>
      <c r="U175" s="33" t="str">
        <f t="shared" si="28"/>
        <v/>
      </c>
      <c r="BA175" s="4">
        <v>7.9</v>
      </c>
      <c r="BC175" s="4" t="s">
        <v>459</v>
      </c>
      <c r="BD175" s="4" t="s">
        <v>1826</v>
      </c>
      <c r="BE175" s="4" t="s">
        <v>240</v>
      </c>
      <c r="BL175" s="4" t="s">
        <v>459</v>
      </c>
      <c r="BM175" s="4" t="s">
        <v>1897</v>
      </c>
    </row>
    <row r="176" spans="4:65">
      <c r="D176" s="17" t="str">
        <f t="shared" si="33"/>
        <v>EinzelfuttermittelKatzeGemüse, Obst und Faserstoffe</v>
      </c>
      <c r="E176" s="4" t="s">
        <v>240</v>
      </c>
      <c r="F176" s="19" t="s">
        <v>90</v>
      </c>
      <c r="G176" s="4" t="s">
        <v>2855</v>
      </c>
      <c r="L176" s="27" t="s">
        <v>506</v>
      </c>
      <c r="M176" s="4">
        <f t="shared" si="34"/>
        <v>0</v>
      </c>
      <c r="N176" s="4">
        <f t="shared" si="31"/>
        <v>0</v>
      </c>
      <c r="P176" s="4">
        <f t="shared" si="32"/>
        <v>0</v>
      </c>
      <c r="R176" s="4">
        <f t="shared" si="35"/>
        <v>0</v>
      </c>
      <c r="U176" s="33" t="str">
        <f t="shared" si="28"/>
        <v/>
      </c>
      <c r="BA176" s="4">
        <v>149</v>
      </c>
      <c r="BC176" s="4" t="s">
        <v>1925</v>
      </c>
      <c r="BD176" s="4" t="s">
        <v>1826</v>
      </c>
      <c r="BE176" s="4" t="s">
        <v>240</v>
      </c>
      <c r="BL176" s="4" t="s">
        <v>1927</v>
      </c>
      <c r="BM176" s="4" t="s">
        <v>1926</v>
      </c>
    </row>
    <row r="177" spans="4:65">
      <c r="D177" s="17" t="str">
        <f t="shared" si="33"/>
        <v>EinzelfuttermittelKatzeGemüse, Obst und Faserstoffe</v>
      </c>
      <c r="E177" s="4" t="s">
        <v>240</v>
      </c>
      <c r="F177" s="19" t="s">
        <v>90</v>
      </c>
      <c r="G177" s="4" t="s">
        <v>2855</v>
      </c>
      <c r="L177" s="4" t="s">
        <v>2895</v>
      </c>
      <c r="M177" s="4">
        <f t="shared" si="34"/>
        <v>5.0999999999999996</v>
      </c>
      <c r="N177" s="4">
        <f t="shared" si="31"/>
        <v>18</v>
      </c>
      <c r="P177" s="4">
        <f t="shared" si="32"/>
        <v>15.8</v>
      </c>
      <c r="R177" s="4">
        <f t="shared" si="35"/>
        <v>0</v>
      </c>
      <c r="U177" s="33" t="str">
        <f t="shared" si="28"/>
        <v/>
      </c>
      <c r="V177" s="4">
        <v>1780</v>
      </c>
      <c r="X177" s="4">
        <v>58</v>
      </c>
      <c r="BA177" s="4">
        <v>10.6</v>
      </c>
      <c r="BC177" s="4" t="s">
        <v>1928</v>
      </c>
      <c r="BD177" s="4" t="s">
        <v>1826</v>
      </c>
      <c r="BE177" s="4" t="s">
        <v>240</v>
      </c>
      <c r="BF177" s="4">
        <v>5.0999999999999996</v>
      </c>
      <c r="BG177" s="4">
        <v>18</v>
      </c>
      <c r="BI177" s="4">
        <v>15.8</v>
      </c>
      <c r="BL177" s="4" t="s">
        <v>1929</v>
      </c>
      <c r="BM177" s="4" t="s">
        <v>1930</v>
      </c>
    </row>
    <row r="178" spans="4:65">
      <c r="D178" s="17" t="str">
        <f t="shared" si="33"/>
        <v>EinzelfuttermittelKatzeGemüse, Obst und Faserstoffe</v>
      </c>
      <c r="E178" s="4" t="s">
        <v>240</v>
      </c>
      <c r="F178" s="19" t="s">
        <v>90</v>
      </c>
      <c r="G178" s="4" t="s">
        <v>2855</v>
      </c>
      <c r="L178" s="4" t="s">
        <v>2882</v>
      </c>
      <c r="M178" s="4">
        <f t="shared" si="34"/>
        <v>0</v>
      </c>
      <c r="N178" s="4">
        <f t="shared" si="31"/>
        <v>0</v>
      </c>
      <c r="P178" s="4">
        <f t="shared" si="32"/>
        <v>0</v>
      </c>
      <c r="R178" s="4">
        <f t="shared" si="35"/>
        <v>0</v>
      </c>
      <c r="U178" s="33" t="str">
        <f t="shared" si="28"/>
        <v/>
      </c>
      <c r="BA178" s="4">
        <v>24.83</v>
      </c>
      <c r="BB178" s="4">
        <v>3</v>
      </c>
      <c r="BC178" s="4" t="s">
        <v>443</v>
      </c>
      <c r="BD178" s="4" t="s">
        <v>1826</v>
      </c>
      <c r="BE178" s="4" t="s">
        <v>240</v>
      </c>
      <c r="BL178" s="4" t="s">
        <v>1932</v>
      </c>
      <c r="BM178" s="4" t="s">
        <v>1931</v>
      </c>
    </row>
    <row r="179" spans="4:65">
      <c r="D179" s="17" t="str">
        <f t="shared" si="33"/>
        <v>EinzelfuttermittelKatzeGemüse, Obst und Faserstoffe</v>
      </c>
      <c r="E179" s="4" t="s">
        <v>240</v>
      </c>
      <c r="F179" s="19" t="s">
        <v>90</v>
      </c>
      <c r="G179" s="4" t="s">
        <v>2855</v>
      </c>
      <c r="L179" s="4" t="s">
        <v>2878</v>
      </c>
      <c r="M179" s="4">
        <f t="shared" si="34"/>
        <v>8</v>
      </c>
      <c r="N179" s="4">
        <f t="shared" si="31"/>
        <v>9.1999999999999993</v>
      </c>
      <c r="P179" s="4">
        <f t="shared" si="32"/>
        <v>2</v>
      </c>
      <c r="R179" s="4">
        <f t="shared" si="35"/>
        <v>8.1</v>
      </c>
      <c r="U179" s="33" t="str">
        <f t="shared" si="28"/>
        <v/>
      </c>
      <c r="BA179" s="4">
        <v>9.4499999999999993</v>
      </c>
      <c r="BC179" s="4" t="s">
        <v>1933</v>
      </c>
      <c r="BD179" s="4" t="s">
        <v>1826</v>
      </c>
      <c r="BE179" s="4" t="s">
        <v>240</v>
      </c>
      <c r="BF179" s="4">
        <v>8</v>
      </c>
      <c r="BG179" s="4">
        <v>9.1999999999999993</v>
      </c>
      <c r="BI179" s="4">
        <v>2</v>
      </c>
      <c r="BK179" s="4">
        <v>8.1</v>
      </c>
      <c r="BL179" s="4" t="s">
        <v>1934</v>
      </c>
      <c r="BM179" s="4" t="s">
        <v>1935</v>
      </c>
    </row>
    <row r="180" spans="4:65">
      <c r="D180" s="17" t="str">
        <f t="shared" si="33"/>
        <v>EinzelfuttermittelKatzeGemüse, Obst und Faserstoffe</v>
      </c>
      <c r="E180" s="4" t="s">
        <v>240</v>
      </c>
      <c r="F180" s="19" t="s">
        <v>90</v>
      </c>
      <c r="G180" s="4" t="s">
        <v>2855</v>
      </c>
      <c r="L180" s="27" t="s">
        <v>2880</v>
      </c>
      <c r="M180" s="4">
        <f t="shared" si="34"/>
        <v>7.8</v>
      </c>
      <c r="N180" s="4">
        <f t="shared" si="31"/>
        <v>9.4</v>
      </c>
      <c r="P180" s="4">
        <f t="shared" si="32"/>
        <v>0.4</v>
      </c>
      <c r="R180" s="4">
        <f t="shared" si="35"/>
        <v>5</v>
      </c>
      <c r="U180" s="33" t="str">
        <f t="shared" si="28"/>
        <v/>
      </c>
      <c r="BA180" s="4">
        <v>11.8</v>
      </c>
      <c r="BC180" s="4" t="s">
        <v>1939</v>
      </c>
      <c r="BD180" s="4" t="s">
        <v>1826</v>
      </c>
      <c r="BE180" s="4" t="s">
        <v>240</v>
      </c>
      <c r="BF180" s="4">
        <v>7.8</v>
      </c>
      <c r="BG180" s="4">
        <v>9.4</v>
      </c>
      <c r="BI180" s="4">
        <v>0.4</v>
      </c>
      <c r="BK180" s="4">
        <v>5</v>
      </c>
      <c r="BL180" s="4" t="s">
        <v>1941</v>
      </c>
      <c r="BM180" s="4" t="s">
        <v>1940</v>
      </c>
    </row>
    <row r="181" spans="4:65">
      <c r="D181" s="17" t="str">
        <f t="shared" si="33"/>
        <v>EinzelfuttermittelKatzeGetreide, Samen, Leguminosen und Kartoffel-Produkte</v>
      </c>
      <c r="E181" s="4" t="s">
        <v>240</v>
      </c>
      <c r="F181" s="19" t="s">
        <v>90</v>
      </c>
      <c r="G181" s="4" t="s">
        <v>2857</v>
      </c>
      <c r="L181" s="4" t="s">
        <v>2884</v>
      </c>
      <c r="M181" s="4">
        <f t="shared" si="34"/>
        <v>0</v>
      </c>
      <c r="N181" s="4">
        <f t="shared" si="31"/>
        <v>0</v>
      </c>
      <c r="P181" s="4">
        <f t="shared" si="32"/>
        <v>0</v>
      </c>
      <c r="R181" s="4">
        <f t="shared" si="35"/>
        <v>0</v>
      </c>
      <c r="U181" s="33" t="str">
        <f t="shared" si="28"/>
        <v/>
      </c>
      <c r="BA181" s="4">
        <v>8.9</v>
      </c>
      <c r="BC181" s="4" t="s">
        <v>1942</v>
      </c>
      <c r="BD181" s="4" t="s">
        <v>1826</v>
      </c>
      <c r="BE181" s="4" t="s">
        <v>240</v>
      </c>
      <c r="BL181" s="4" t="s">
        <v>1943</v>
      </c>
      <c r="BM181" s="4" t="s">
        <v>1944</v>
      </c>
    </row>
    <row r="182" spans="4:65">
      <c r="D182" s="17" t="str">
        <f t="shared" si="33"/>
        <v>EinzelfuttermittelKatzeGemüse, Obst und Faserstoffe</v>
      </c>
      <c r="E182" s="4" t="s">
        <v>240</v>
      </c>
      <c r="F182" s="19" t="s">
        <v>90</v>
      </c>
      <c r="G182" s="4" t="s">
        <v>2855</v>
      </c>
      <c r="L182" s="27" t="s">
        <v>523</v>
      </c>
      <c r="M182" s="4">
        <f t="shared" si="34"/>
        <v>0</v>
      </c>
      <c r="N182" s="4">
        <f t="shared" si="31"/>
        <v>0.1</v>
      </c>
      <c r="P182" s="4">
        <f t="shared" si="32"/>
        <v>0.1</v>
      </c>
      <c r="R182" s="4">
        <f t="shared" si="35"/>
        <v>0.3</v>
      </c>
      <c r="U182" s="33" t="str">
        <f t="shared" si="28"/>
        <v/>
      </c>
      <c r="BA182" s="4">
        <v>19.2</v>
      </c>
      <c r="BC182" s="4" t="s">
        <v>523</v>
      </c>
      <c r="BD182" s="4" t="s">
        <v>1826</v>
      </c>
      <c r="BE182" s="4" t="s">
        <v>240</v>
      </c>
      <c r="BG182" s="4">
        <v>0.1</v>
      </c>
      <c r="BI182" s="4">
        <v>0.1</v>
      </c>
      <c r="BK182" s="4">
        <v>0.3</v>
      </c>
      <c r="BL182" s="4" t="s">
        <v>1970</v>
      </c>
      <c r="BM182" s="4" t="s">
        <v>1969</v>
      </c>
    </row>
    <row r="183" spans="4:65">
      <c r="D183" s="17" t="str">
        <f t="shared" si="33"/>
        <v>EinzelfuttermittelKatzeGemüse, Obst und Faserstoffe</v>
      </c>
      <c r="E183" s="4" t="s">
        <v>240</v>
      </c>
      <c r="F183" s="19" t="s">
        <v>90</v>
      </c>
      <c r="G183" s="4" t="s">
        <v>2855</v>
      </c>
      <c r="L183" s="4" t="s">
        <v>2885</v>
      </c>
      <c r="M183" s="4">
        <f t="shared" ref="M183:M198" si="36">BF183</f>
        <v>0</v>
      </c>
      <c r="N183" s="4">
        <f t="shared" ref="N183:N198" si="37">BG183</f>
        <v>0</v>
      </c>
      <c r="P183" s="4">
        <f t="shared" ref="P183:P198" si="38">BI183</f>
        <v>0</v>
      </c>
      <c r="R183" s="4">
        <f t="shared" ref="R183:R198" si="39">BK183</f>
        <v>0</v>
      </c>
      <c r="U183" s="33" t="str">
        <f t="shared" si="28"/>
        <v/>
      </c>
      <c r="BA183" s="4">
        <v>39.799999999999997</v>
      </c>
      <c r="BC183" s="4" t="s">
        <v>1971</v>
      </c>
      <c r="BD183" s="4" t="s">
        <v>1826</v>
      </c>
      <c r="BE183" s="4" t="s">
        <v>240</v>
      </c>
      <c r="BL183" s="4" t="s">
        <v>1973</v>
      </c>
      <c r="BM183" s="4" t="s">
        <v>1972</v>
      </c>
    </row>
    <row r="184" spans="4:65">
      <c r="D184" s="17" t="str">
        <f t="shared" ref="D184:D224" si="40">E184&amp;""&amp;F184&amp;""&amp;G184&amp;""&amp;H184</f>
        <v>EinzelfuttermittelKatzeGemüse, Obst und Faserstoffe</v>
      </c>
      <c r="E184" s="4" t="s">
        <v>240</v>
      </c>
      <c r="F184" s="19" t="s">
        <v>90</v>
      </c>
      <c r="G184" s="4" t="s">
        <v>2855</v>
      </c>
      <c r="L184" s="4" t="s">
        <v>2899</v>
      </c>
      <c r="M184" s="4">
        <f t="shared" si="36"/>
        <v>0</v>
      </c>
      <c r="N184" s="4">
        <f t="shared" si="37"/>
        <v>0</v>
      </c>
      <c r="P184" s="4">
        <f t="shared" si="38"/>
        <v>0</v>
      </c>
      <c r="R184" s="4">
        <f t="shared" si="39"/>
        <v>0</v>
      </c>
      <c r="U184" s="33" t="str">
        <f t="shared" si="28"/>
        <v/>
      </c>
      <c r="BA184" s="4">
        <v>47.25</v>
      </c>
      <c r="BC184" s="4" t="s">
        <v>1974</v>
      </c>
      <c r="BD184" s="4" t="s">
        <v>1826</v>
      </c>
      <c r="BE184" s="4" t="s">
        <v>240</v>
      </c>
      <c r="BL184" s="4" t="s">
        <v>1975</v>
      </c>
      <c r="BM184" s="4" t="s">
        <v>1976</v>
      </c>
    </row>
    <row r="185" spans="4:65">
      <c r="D185" s="17" t="str">
        <f t="shared" si="40"/>
        <v>EinzelfuttermittelKatzeGetreide, Samen, Leguminosen und Kartoffel-Produkte</v>
      </c>
      <c r="E185" s="4" t="s">
        <v>240</v>
      </c>
      <c r="F185" s="19" t="s">
        <v>90</v>
      </c>
      <c r="G185" s="4" t="s">
        <v>2857</v>
      </c>
      <c r="L185" s="27" t="s">
        <v>2152</v>
      </c>
      <c r="M185" s="4">
        <f t="shared" si="36"/>
        <v>0</v>
      </c>
      <c r="N185" s="4">
        <f t="shared" si="37"/>
        <v>0</v>
      </c>
      <c r="P185" s="4">
        <f t="shared" si="38"/>
        <v>0</v>
      </c>
      <c r="R185" s="4">
        <f t="shared" si="39"/>
        <v>0</v>
      </c>
      <c r="U185" s="33" t="str">
        <f t="shared" si="28"/>
        <v/>
      </c>
      <c r="BA185" s="4">
        <v>99.5</v>
      </c>
      <c r="BB185" s="4">
        <v>0.5</v>
      </c>
      <c r="BC185" s="4" t="s">
        <v>1977</v>
      </c>
      <c r="BD185" s="4" t="s">
        <v>1826</v>
      </c>
      <c r="BE185" s="4" t="s">
        <v>240</v>
      </c>
      <c r="BL185" s="4" t="s">
        <v>1979</v>
      </c>
      <c r="BM185" s="4" t="s">
        <v>1978</v>
      </c>
    </row>
    <row r="186" spans="4:65">
      <c r="D186" s="17" t="str">
        <f t="shared" si="40"/>
        <v>EinzelfuttermittelKatzeGetreide, Samen, Leguminosen und Kartoffel-Produkte</v>
      </c>
      <c r="E186" s="4" t="s">
        <v>240</v>
      </c>
      <c r="F186" s="19" t="s">
        <v>90</v>
      </c>
      <c r="G186" s="4" t="s">
        <v>2857</v>
      </c>
      <c r="L186" s="4" t="s">
        <v>2866</v>
      </c>
      <c r="M186" s="4">
        <f t="shared" si="36"/>
        <v>0</v>
      </c>
      <c r="N186" s="4">
        <f t="shared" si="37"/>
        <v>0</v>
      </c>
      <c r="P186" s="4">
        <f t="shared" si="38"/>
        <v>0</v>
      </c>
      <c r="R186" s="4">
        <f t="shared" si="39"/>
        <v>0</v>
      </c>
      <c r="U186" s="33" t="str">
        <f t="shared" si="28"/>
        <v/>
      </c>
      <c r="BA186" s="4">
        <v>49.75</v>
      </c>
      <c r="BB186" s="4">
        <v>1.2</v>
      </c>
      <c r="BC186" s="4" t="s">
        <v>1980</v>
      </c>
      <c r="BD186" s="4" t="s">
        <v>1826</v>
      </c>
      <c r="BE186" s="4" t="s">
        <v>240</v>
      </c>
      <c r="BL186" s="4" t="s">
        <v>1982</v>
      </c>
      <c r="BM186" s="4" t="s">
        <v>1981</v>
      </c>
    </row>
    <row r="187" spans="4:65">
      <c r="D187" s="17" t="str">
        <f t="shared" si="40"/>
        <v>EinzelfuttermittelKatzeGetreide, Samen, Leguminosen und Kartoffel-Produkte</v>
      </c>
      <c r="E187" s="4" t="s">
        <v>240</v>
      </c>
      <c r="F187" s="19" t="s">
        <v>90</v>
      </c>
      <c r="G187" s="4" t="s">
        <v>2857</v>
      </c>
      <c r="L187" s="4" t="s">
        <v>2886</v>
      </c>
      <c r="M187" s="4">
        <f t="shared" si="36"/>
        <v>0</v>
      </c>
      <c r="N187" s="4">
        <f t="shared" si="37"/>
        <v>0</v>
      </c>
      <c r="P187" s="4">
        <f t="shared" si="38"/>
        <v>0</v>
      </c>
      <c r="R187" s="4">
        <f t="shared" si="39"/>
        <v>0</v>
      </c>
      <c r="U187" s="33" t="str">
        <f t="shared" si="28"/>
        <v/>
      </c>
      <c r="BA187" s="4">
        <v>59.67</v>
      </c>
      <c r="BC187" s="4" t="s">
        <v>1983</v>
      </c>
      <c r="BD187" s="4" t="s">
        <v>1826</v>
      </c>
      <c r="BE187" s="4" t="s">
        <v>240</v>
      </c>
      <c r="BL187" s="4" t="s">
        <v>1985</v>
      </c>
      <c r="BM187" s="4" t="s">
        <v>1984</v>
      </c>
    </row>
    <row r="188" spans="4:65">
      <c r="D188" s="17" t="str">
        <f t="shared" si="40"/>
        <v>EinzelfuttermittelKatzeGemüse, Obst und Faserstoffe</v>
      </c>
      <c r="E188" s="4" t="s">
        <v>240</v>
      </c>
      <c r="F188" s="19" t="s">
        <v>90</v>
      </c>
      <c r="G188" s="4" t="s">
        <v>2855</v>
      </c>
      <c r="L188" s="4" t="s">
        <v>2899</v>
      </c>
      <c r="M188" s="4">
        <f t="shared" si="36"/>
        <v>0</v>
      </c>
      <c r="N188" s="4">
        <f t="shared" si="37"/>
        <v>0</v>
      </c>
      <c r="P188" s="4">
        <f t="shared" si="38"/>
        <v>0</v>
      </c>
      <c r="R188" s="4">
        <f t="shared" si="39"/>
        <v>0</v>
      </c>
      <c r="U188" s="33" t="str">
        <f t="shared" si="28"/>
        <v/>
      </c>
      <c r="BA188" s="4">
        <v>38.4</v>
      </c>
      <c r="BC188" s="4" t="s">
        <v>1986</v>
      </c>
      <c r="BD188" s="4" t="s">
        <v>1826</v>
      </c>
      <c r="BE188" s="4" t="s">
        <v>240</v>
      </c>
      <c r="BL188" s="4" t="s">
        <v>1988</v>
      </c>
      <c r="BM188" s="4" t="s">
        <v>1987</v>
      </c>
    </row>
    <row r="189" spans="4:65">
      <c r="D189" s="17" t="str">
        <f t="shared" si="40"/>
        <v>EinzelfuttermittelKatzeGemüse, Obst und Faserstoffe</v>
      </c>
      <c r="E189" s="4" t="s">
        <v>240</v>
      </c>
      <c r="F189" s="19" t="s">
        <v>90</v>
      </c>
      <c r="G189" s="4" t="s">
        <v>2855</v>
      </c>
      <c r="L189" s="4" t="s">
        <v>2898</v>
      </c>
      <c r="M189" s="4">
        <f t="shared" si="36"/>
        <v>0</v>
      </c>
      <c r="N189" s="4">
        <f t="shared" si="37"/>
        <v>0</v>
      </c>
      <c r="P189" s="4">
        <f t="shared" si="38"/>
        <v>0</v>
      </c>
      <c r="R189" s="4">
        <f t="shared" si="39"/>
        <v>0</v>
      </c>
      <c r="U189" s="33" t="str">
        <f t="shared" si="28"/>
        <v/>
      </c>
      <c r="BA189" s="4">
        <v>46.8</v>
      </c>
      <c r="BC189" s="4" t="s">
        <v>1989</v>
      </c>
      <c r="BD189" s="4" t="s">
        <v>1826</v>
      </c>
      <c r="BE189" s="4" t="s">
        <v>240</v>
      </c>
      <c r="BL189" s="4" t="s">
        <v>1991</v>
      </c>
      <c r="BM189" s="4" t="s">
        <v>1990</v>
      </c>
    </row>
    <row r="190" spans="4:65">
      <c r="D190" s="17" t="str">
        <f t="shared" si="40"/>
        <v>EinzelfuttermittelKatzeGemüse, Obst und Faserstoffe</v>
      </c>
      <c r="E190" s="4" t="s">
        <v>240</v>
      </c>
      <c r="F190" s="19" t="s">
        <v>90</v>
      </c>
      <c r="G190" s="4" t="s">
        <v>2855</v>
      </c>
      <c r="L190" s="4" t="s">
        <v>2898</v>
      </c>
      <c r="M190" s="4">
        <f t="shared" si="36"/>
        <v>0.57999999999999996</v>
      </c>
      <c r="N190" s="4">
        <f t="shared" si="37"/>
        <v>0.3</v>
      </c>
      <c r="P190" s="4">
        <f t="shared" si="38"/>
        <v>0.1</v>
      </c>
      <c r="R190" s="4">
        <f t="shared" si="39"/>
        <v>1</v>
      </c>
      <c r="S190" s="4">
        <v>40</v>
      </c>
      <c r="T190" s="4">
        <v>20</v>
      </c>
      <c r="U190" s="33">
        <f t="shared" si="28"/>
        <v>2</v>
      </c>
      <c r="X190" s="4">
        <v>10</v>
      </c>
      <c r="BA190" s="4">
        <v>55.6</v>
      </c>
      <c r="BB190" s="4">
        <v>2.25</v>
      </c>
      <c r="BC190" s="4" t="s">
        <v>1992</v>
      </c>
      <c r="BD190" s="4" t="s">
        <v>1826</v>
      </c>
      <c r="BE190" s="4" t="s">
        <v>240</v>
      </c>
      <c r="BF190" s="4">
        <v>0.57999999999999996</v>
      </c>
      <c r="BG190" s="4">
        <v>0.3</v>
      </c>
      <c r="BI190" s="4">
        <v>0.1</v>
      </c>
      <c r="BK190" s="4">
        <v>1</v>
      </c>
      <c r="BL190" s="4" t="s">
        <v>1993</v>
      </c>
      <c r="BM190" s="4" t="s">
        <v>1994</v>
      </c>
    </row>
    <row r="191" spans="4:65">
      <c r="D191" s="17" t="str">
        <f t="shared" si="40"/>
        <v>EinzelfuttermittelKatzeGemüse, Obst und Faserstoffe</v>
      </c>
      <c r="E191" s="4" t="s">
        <v>240</v>
      </c>
      <c r="F191" s="19" t="s">
        <v>90</v>
      </c>
      <c r="G191" s="4" t="s">
        <v>2855</v>
      </c>
      <c r="L191" s="27" t="s">
        <v>3268</v>
      </c>
      <c r="M191" s="4">
        <f t="shared" si="36"/>
        <v>0</v>
      </c>
      <c r="N191" s="4">
        <f t="shared" si="37"/>
        <v>0</v>
      </c>
      <c r="P191" s="4">
        <f t="shared" si="38"/>
        <v>0</v>
      </c>
      <c r="R191" s="4">
        <f t="shared" si="39"/>
        <v>0</v>
      </c>
      <c r="U191" s="33" t="str">
        <f t="shared" si="28"/>
        <v/>
      </c>
      <c r="BA191" s="4">
        <v>87</v>
      </c>
      <c r="BB191" s="4">
        <v>0.5</v>
      </c>
      <c r="BC191" s="4" t="s">
        <v>1995</v>
      </c>
      <c r="BD191" s="4" t="s">
        <v>1826</v>
      </c>
      <c r="BE191" s="4" t="s">
        <v>240</v>
      </c>
      <c r="BL191" s="4" t="s">
        <v>1997</v>
      </c>
      <c r="BM191" s="4" t="s">
        <v>1996</v>
      </c>
    </row>
    <row r="192" spans="4:65">
      <c r="D192" s="17" t="str">
        <f t="shared" si="40"/>
        <v>EinzelfuttermittelKatzeGemüse, Obst und Faserstoffe</v>
      </c>
      <c r="E192" s="4" t="s">
        <v>240</v>
      </c>
      <c r="F192" s="19" t="s">
        <v>90</v>
      </c>
      <c r="G192" s="4" t="s">
        <v>2855</v>
      </c>
      <c r="L192" s="27" t="s">
        <v>3269</v>
      </c>
      <c r="M192" s="4">
        <f t="shared" si="36"/>
        <v>0</v>
      </c>
      <c r="N192" s="4">
        <f t="shared" si="37"/>
        <v>0</v>
      </c>
      <c r="P192" s="4">
        <f t="shared" si="38"/>
        <v>0</v>
      </c>
      <c r="R192" s="4">
        <f t="shared" si="39"/>
        <v>0</v>
      </c>
      <c r="U192" s="33" t="str">
        <f t="shared" si="28"/>
        <v/>
      </c>
      <c r="BA192" s="4">
        <v>43.6</v>
      </c>
      <c r="BC192" s="4" t="s">
        <v>1998</v>
      </c>
      <c r="BD192" s="4" t="s">
        <v>1826</v>
      </c>
      <c r="BE192" s="4" t="s">
        <v>240</v>
      </c>
      <c r="BL192" s="4" t="s">
        <v>1999</v>
      </c>
      <c r="BM192" s="4" t="s">
        <v>2000</v>
      </c>
    </row>
    <row r="193" spans="4:65">
      <c r="D193" s="17" t="str">
        <f t="shared" si="40"/>
        <v>EinzelfuttermittelKatzeGetreide, Samen, Leguminosen und Kartoffel-Produkte</v>
      </c>
      <c r="E193" s="4" t="s">
        <v>240</v>
      </c>
      <c r="F193" s="19" t="s">
        <v>90</v>
      </c>
      <c r="G193" s="4" t="s">
        <v>2857</v>
      </c>
      <c r="L193" s="4" t="s">
        <v>2887</v>
      </c>
      <c r="M193" s="4">
        <f t="shared" si="36"/>
        <v>0</v>
      </c>
      <c r="N193" s="4">
        <f t="shared" si="37"/>
        <v>0</v>
      </c>
      <c r="P193" s="4">
        <f t="shared" si="38"/>
        <v>0</v>
      </c>
      <c r="R193" s="4">
        <f t="shared" si="39"/>
        <v>0</v>
      </c>
      <c r="U193" s="33" t="str">
        <f t="shared" si="28"/>
        <v/>
      </c>
      <c r="BA193" s="4">
        <v>35.799999999999997</v>
      </c>
      <c r="BB193" s="4">
        <v>0.75</v>
      </c>
      <c r="BC193" s="4" t="s">
        <v>2001</v>
      </c>
      <c r="BD193" s="4" t="s">
        <v>1826</v>
      </c>
      <c r="BE193" s="4" t="s">
        <v>240</v>
      </c>
      <c r="BL193" s="4" t="s">
        <v>2002</v>
      </c>
      <c r="BM193" s="4" t="s">
        <v>2003</v>
      </c>
    </row>
    <row r="194" spans="4:65">
      <c r="D194" s="17" t="str">
        <f t="shared" si="40"/>
        <v>EinzelfuttermittelKatzeGemüse, Obst und Faserstoffe</v>
      </c>
      <c r="E194" s="4" t="s">
        <v>240</v>
      </c>
      <c r="F194" s="19" t="s">
        <v>90</v>
      </c>
      <c r="G194" s="4" t="s">
        <v>2855</v>
      </c>
      <c r="L194" s="27" t="s">
        <v>2004</v>
      </c>
      <c r="M194" s="4">
        <f t="shared" si="36"/>
        <v>0</v>
      </c>
      <c r="N194" s="4">
        <f t="shared" si="37"/>
        <v>0</v>
      </c>
      <c r="P194" s="4">
        <f t="shared" si="38"/>
        <v>0</v>
      </c>
      <c r="R194" s="4">
        <f t="shared" si="39"/>
        <v>0</v>
      </c>
      <c r="U194" s="33" t="str">
        <f t="shared" si="28"/>
        <v/>
      </c>
      <c r="BA194" s="4">
        <v>123.6</v>
      </c>
      <c r="BB194" s="4">
        <v>1.5</v>
      </c>
      <c r="BC194" s="4" t="s">
        <v>2004</v>
      </c>
      <c r="BD194" s="4" t="s">
        <v>1826</v>
      </c>
      <c r="BE194" s="4" t="s">
        <v>240</v>
      </c>
      <c r="BL194" s="4" t="s">
        <v>2005</v>
      </c>
      <c r="BM194" s="4" t="s">
        <v>2006</v>
      </c>
    </row>
    <row r="195" spans="4:65">
      <c r="D195" s="17" t="str">
        <f t="shared" si="40"/>
        <v>EinzelfuttermittelKatzeGemüse, Obst und Faserstoffe</v>
      </c>
      <c r="E195" s="4" t="s">
        <v>240</v>
      </c>
      <c r="F195" s="19" t="s">
        <v>90</v>
      </c>
      <c r="G195" s="4" t="s">
        <v>2855</v>
      </c>
      <c r="L195" s="27" t="s">
        <v>3264</v>
      </c>
      <c r="M195" s="4">
        <f t="shared" si="36"/>
        <v>0</v>
      </c>
      <c r="N195" s="4">
        <f t="shared" si="37"/>
        <v>0</v>
      </c>
      <c r="P195" s="4">
        <f t="shared" si="38"/>
        <v>0</v>
      </c>
      <c r="R195" s="4">
        <f t="shared" si="39"/>
        <v>0</v>
      </c>
      <c r="U195" s="33" t="str">
        <f t="shared" si="28"/>
        <v/>
      </c>
      <c r="BA195" s="4">
        <v>46.5</v>
      </c>
      <c r="BB195" s="4">
        <v>0.625</v>
      </c>
      <c r="BC195" s="4" t="s">
        <v>2007</v>
      </c>
      <c r="BD195" s="4" t="s">
        <v>1826</v>
      </c>
      <c r="BE195" s="4" t="s">
        <v>240</v>
      </c>
      <c r="BL195" s="4" t="s">
        <v>2008</v>
      </c>
      <c r="BM195" s="4" t="s">
        <v>2009</v>
      </c>
    </row>
    <row r="196" spans="4:65">
      <c r="D196" s="17" t="str">
        <f t="shared" si="40"/>
        <v>EinzelfuttermittelKatzeFleisch-, Fisch- und Algenprodukte</v>
      </c>
      <c r="E196" s="4" t="s">
        <v>240</v>
      </c>
      <c r="F196" s="19" t="s">
        <v>90</v>
      </c>
      <c r="G196" s="4" t="s">
        <v>2854</v>
      </c>
      <c r="L196" s="4" t="s">
        <v>2859</v>
      </c>
      <c r="M196" s="4">
        <f t="shared" si="36"/>
        <v>0</v>
      </c>
      <c r="N196" s="4">
        <f t="shared" si="37"/>
        <v>0</v>
      </c>
      <c r="P196" s="4">
        <f t="shared" si="38"/>
        <v>0</v>
      </c>
      <c r="R196" s="4">
        <f t="shared" si="39"/>
        <v>0</v>
      </c>
      <c r="U196" s="33" t="str">
        <f t="shared" si="28"/>
        <v/>
      </c>
      <c r="BA196" s="4">
        <v>79.599999999999994</v>
      </c>
      <c r="BB196" s="4">
        <v>0.625</v>
      </c>
      <c r="BC196" s="4" t="s">
        <v>2010</v>
      </c>
      <c r="BD196" s="4" t="s">
        <v>1826</v>
      </c>
      <c r="BE196" s="4" t="s">
        <v>240</v>
      </c>
      <c r="BL196" s="4" t="s">
        <v>2012</v>
      </c>
      <c r="BM196" s="4" t="s">
        <v>2011</v>
      </c>
    </row>
    <row r="197" spans="4:65">
      <c r="D197" s="17" t="str">
        <f t="shared" si="40"/>
        <v>EinzelfuttermittelKatzeFleisch-, Fisch- und Algenprodukte</v>
      </c>
      <c r="E197" s="4" t="s">
        <v>240</v>
      </c>
      <c r="F197" s="19" t="s">
        <v>90</v>
      </c>
      <c r="G197" s="4" t="s">
        <v>2854</v>
      </c>
      <c r="L197" s="4" t="s">
        <v>220</v>
      </c>
      <c r="M197" s="4">
        <f t="shared" si="36"/>
        <v>0</v>
      </c>
      <c r="N197" s="4">
        <f t="shared" si="37"/>
        <v>0</v>
      </c>
      <c r="P197" s="4">
        <f t="shared" si="38"/>
        <v>0</v>
      </c>
      <c r="R197" s="4">
        <f t="shared" si="39"/>
        <v>0</v>
      </c>
      <c r="U197" s="33" t="str">
        <f t="shared" ref="U197:U260" si="41">IF(S197="","",S197/T197)</f>
        <v/>
      </c>
      <c r="AD197" s="4">
        <v>45300</v>
      </c>
      <c r="BA197" s="4">
        <v>15.2</v>
      </c>
      <c r="BB197" s="4">
        <v>0.14000000000000001</v>
      </c>
      <c r="BC197" s="4" t="s">
        <v>513</v>
      </c>
      <c r="BD197" s="4" t="s">
        <v>1826</v>
      </c>
      <c r="BE197" s="4" t="s">
        <v>240</v>
      </c>
      <c r="BL197" s="4" t="s">
        <v>2013</v>
      </c>
      <c r="BM197" s="4" t="s">
        <v>2014</v>
      </c>
    </row>
    <row r="198" spans="4:65">
      <c r="D198" s="17" t="str">
        <f t="shared" si="40"/>
        <v>EinzelfuttermittelKatzeFleisch-, Fisch- und Algenprodukte</v>
      </c>
      <c r="E198" s="4" t="s">
        <v>240</v>
      </c>
      <c r="F198" s="19" t="s">
        <v>90</v>
      </c>
      <c r="G198" s="4" t="s">
        <v>2854</v>
      </c>
      <c r="L198" s="4" t="s">
        <v>2859</v>
      </c>
      <c r="M198" s="4">
        <f t="shared" si="36"/>
        <v>0</v>
      </c>
      <c r="N198" s="4">
        <f t="shared" si="37"/>
        <v>0</v>
      </c>
      <c r="P198" s="4">
        <f t="shared" si="38"/>
        <v>0</v>
      </c>
      <c r="R198" s="4">
        <f t="shared" si="39"/>
        <v>0</v>
      </c>
      <c r="U198" s="33" t="str">
        <f t="shared" si="41"/>
        <v/>
      </c>
      <c r="BA198" s="4">
        <v>49.8</v>
      </c>
      <c r="BB198" s="4">
        <v>0.4</v>
      </c>
      <c r="BC198" s="4" t="s">
        <v>517</v>
      </c>
      <c r="BD198" s="4" t="s">
        <v>1826</v>
      </c>
      <c r="BE198" s="4" t="s">
        <v>240</v>
      </c>
      <c r="BL198" s="4" t="s">
        <v>2016</v>
      </c>
      <c r="BM198" s="4" t="s">
        <v>2015</v>
      </c>
    </row>
    <row r="199" spans="4:65">
      <c r="D199" s="17" t="str">
        <f t="shared" si="40"/>
        <v>EinzelfuttermittelKatzeFleisch-, Fisch- und Algenprodukte</v>
      </c>
      <c r="E199" s="4" t="s">
        <v>240</v>
      </c>
      <c r="F199" s="19" t="s">
        <v>90</v>
      </c>
      <c r="G199" s="4" t="s">
        <v>2854</v>
      </c>
      <c r="L199" s="4" t="s">
        <v>2864</v>
      </c>
      <c r="M199" s="4">
        <f t="shared" ref="M199:M217" si="42">BF199</f>
        <v>9</v>
      </c>
      <c r="N199" s="4">
        <f t="shared" ref="N199:N217" si="43">BG199</f>
        <v>59.7</v>
      </c>
      <c r="P199" s="4">
        <f t="shared" ref="P199:P217" si="44">BI199</f>
        <v>0</v>
      </c>
      <c r="R199" s="4">
        <f t="shared" ref="R199:R217" si="45">BK199</f>
        <v>0</v>
      </c>
      <c r="U199" s="33" t="str">
        <f t="shared" si="41"/>
        <v/>
      </c>
      <c r="BA199" s="4">
        <v>88.9</v>
      </c>
      <c r="BC199" s="4" t="s">
        <v>92</v>
      </c>
      <c r="BD199" s="4" t="s">
        <v>1826</v>
      </c>
      <c r="BE199" s="4" t="s">
        <v>240</v>
      </c>
      <c r="BF199" s="4">
        <v>9</v>
      </c>
      <c r="BG199" s="4">
        <v>59.7</v>
      </c>
      <c r="BL199" s="4" t="s">
        <v>2018</v>
      </c>
      <c r="BM199" s="4" t="s">
        <v>2017</v>
      </c>
    </row>
    <row r="200" spans="4:65">
      <c r="D200" s="17" t="str">
        <f t="shared" si="40"/>
        <v>EinzelfuttermittelKatzeFleisch-, Fisch- und Algenprodukte</v>
      </c>
      <c r="E200" s="4" t="s">
        <v>240</v>
      </c>
      <c r="F200" s="19" t="s">
        <v>90</v>
      </c>
      <c r="G200" s="4" t="s">
        <v>2854</v>
      </c>
      <c r="L200" s="4" t="s">
        <v>2860</v>
      </c>
      <c r="M200" s="4">
        <f t="shared" si="42"/>
        <v>93.5</v>
      </c>
      <c r="N200" s="4">
        <f t="shared" si="43"/>
        <v>0.5</v>
      </c>
      <c r="P200" s="4">
        <f t="shared" si="44"/>
        <v>0.5</v>
      </c>
      <c r="R200" s="4">
        <f t="shared" si="45"/>
        <v>1</v>
      </c>
      <c r="S200" s="4">
        <v>34400</v>
      </c>
      <c r="T200" s="4">
        <v>40</v>
      </c>
      <c r="U200" s="33">
        <f t="shared" si="41"/>
        <v>860</v>
      </c>
      <c r="V200" s="4">
        <v>2340</v>
      </c>
      <c r="W200" s="4">
        <v>40</v>
      </c>
      <c r="X200" s="4">
        <v>730</v>
      </c>
      <c r="AD200" s="4">
        <v>2000</v>
      </c>
      <c r="BA200" s="4">
        <v>58</v>
      </c>
      <c r="BB200" s="4">
        <v>0.5</v>
      </c>
      <c r="BC200" s="4" t="s">
        <v>2039</v>
      </c>
      <c r="BD200" s="4" t="s">
        <v>2020</v>
      </c>
      <c r="BE200" s="4" t="s">
        <v>240</v>
      </c>
      <c r="BF200" s="4">
        <v>93.5</v>
      </c>
      <c r="BG200" s="4">
        <v>0.5</v>
      </c>
      <c r="BI200" s="4">
        <v>0.5</v>
      </c>
      <c r="BK200" s="4">
        <v>1</v>
      </c>
      <c r="BL200" s="4" t="s">
        <v>2040</v>
      </c>
      <c r="BM200" s="4" t="s">
        <v>2038</v>
      </c>
    </row>
    <row r="201" spans="4:65">
      <c r="D201" s="17" t="str">
        <f t="shared" si="40"/>
        <v>EinzelfuttermittelKatzeGemüse, Obst und Faserstoffe</v>
      </c>
      <c r="E201" s="4" t="s">
        <v>240</v>
      </c>
      <c r="F201" s="19" t="s">
        <v>90</v>
      </c>
      <c r="G201" s="4" t="s">
        <v>2855</v>
      </c>
      <c r="L201" s="4" t="s">
        <v>2898</v>
      </c>
      <c r="M201" s="4">
        <f t="shared" si="42"/>
        <v>0.57999999999999996</v>
      </c>
      <c r="N201" s="4">
        <f t="shared" si="43"/>
        <v>0.3</v>
      </c>
      <c r="P201" s="4">
        <f t="shared" si="44"/>
        <v>0.1</v>
      </c>
      <c r="R201" s="4">
        <f t="shared" si="45"/>
        <v>1</v>
      </c>
      <c r="S201" s="4">
        <v>40</v>
      </c>
      <c r="T201" s="4">
        <v>10</v>
      </c>
      <c r="U201" s="33">
        <f t="shared" si="41"/>
        <v>4</v>
      </c>
      <c r="X201" s="4">
        <v>10</v>
      </c>
      <c r="BA201" s="4">
        <v>60</v>
      </c>
      <c r="BC201" s="4" t="s">
        <v>1992</v>
      </c>
      <c r="BD201" s="4" t="s">
        <v>2020</v>
      </c>
      <c r="BE201" s="4" t="s">
        <v>240</v>
      </c>
      <c r="BF201" s="4">
        <v>0.57999999999999996</v>
      </c>
      <c r="BG201" s="4">
        <v>0.3</v>
      </c>
      <c r="BI201" s="4">
        <v>0.1</v>
      </c>
      <c r="BK201" s="4">
        <v>1</v>
      </c>
      <c r="BL201" s="4" t="s">
        <v>2045</v>
      </c>
      <c r="BM201" s="4" t="s">
        <v>2044</v>
      </c>
    </row>
    <row r="202" spans="4:65">
      <c r="D202" s="17" t="str">
        <f t="shared" si="40"/>
        <v>EinzelfuttermittelKatzeGemüse, Obst und Faserstoffe</v>
      </c>
      <c r="E202" s="4" t="s">
        <v>240</v>
      </c>
      <c r="F202" s="19" t="s">
        <v>90</v>
      </c>
      <c r="G202" s="4" t="s">
        <v>2855</v>
      </c>
      <c r="L202" s="4" t="s">
        <v>2898</v>
      </c>
      <c r="M202" s="4">
        <f t="shared" si="42"/>
        <v>0</v>
      </c>
      <c r="N202" s="4">
        <f t="shared" si="43"/>
        <v>0</v>
      </c>
      <c r="P202" s="4">
        <f t="shared" si="44"/>
        <v>0</v>
      </c>
      <c r="R202" s="4">
        <f t="shared" si="45"/>
        <v>12.6</v>
      </c>
      <c r="U202" s="33" t="str">
        <f t="shared" si="41"/>
        <v/>
      </c>
      <c r="BA202" s="4">
        <v>50.4</v>
      </c>
      <c r="BC202" s="4" t="s">
        <v>2059</v>
      </c>
      <c r="BD202" s="4" t="s">
        <v>2020</v>
      </c>
      <c r="BE202" s="4" t="s">
        <v>240</v>
      </c>
      <c r="BK202" s="4">
        <v>12.6</v>
      </c>
      <c r="BL202" s="4" t="s">
        <v>2061</v>
      </c>
      <c r="BM202" s="4" t="s">
        <v>2060</v>
      </c>
    </row>
    <row r="203" spans="4:65">
      <c r="D203" s="17" t="str">
        <f t="shared" si="40"/>
        <v>EinzelfuttermittelKatzeGemüse, Obst und Faserstoffe</v>
      </c>
      <c r="E203" s="4" t="s">
        <v>240</v>
      </c>
      <c r="F203" s="19" t="s">
        <v>90</v>
      </c>
      <c r="G203" s="4" t="s">
        <v>2855</v>
      </c>
      <c r="L203" s="4" t="s">
        <v>2898</v>
      </c>
      <c r="M203" s="4">
        <f t="shared" si="42"/>
        <v>0</v>
      </c>
      <c r="N203" s="4">
        <f t="shared" si="43"/>
        <v>0</v>
      </c>
      <c r="P203" s="4">
        <f t="shared" si="44"/>
        <v>0</v>
      </c>
      <c r="R203" s="4">
        <f t="shared" si="45"/>
        <v>15.4</v>
      </c>
      <c r="U203" s="33" t="str">
        <f t="shared" si="41"/>
        <v/>
      </c>
      <c r="BA203" s="4">
        <v>63</v>
      </c>
      <c r="BC203" s="4" t="s">
        <v>2062</v>
      </c>
      <c r="BD203" s="4" t="s">
        <v>2020</v>
      </c>
      <c r="BE203" s="4" t="s">
        <v>240</v>
      </c>
      <c r="BK203" s="4">
        <v>15.4</v>
      </c>
      <c r="BL203" s="4" t="s">
        <v>2063</v>
      </c>
      <c r="BM203" s="4" t="s">
        <v>2064</v>
      </c>
    </row>
    <row r="204" spans="4:65">
      <c r="D204" s="17" t="str">
        <f t="shared" si="40"/>
        <v>EinzelfuttermittelKatzeGemüse, Obst und Faserstoffe</v>
      </c>
      <c r="E204" s="4" t="s">
        <v>240</v>
      </c>
      <c r="F204" s="19" t="s">
        <v>90</v>
      </c>
      <c r="G204" s="4" t="s">
        <v>2855</v>
      </c>
      <c r="L204" s="27" t="s">
        <v>2065</v>
      </c>
      <c r="M204" s="4">
        <f t="shared" si="42"/>
        <v>5.8</v>
      </c>
      <c r="N204" s="4">
        <f t="shared" si="43"/>
        <v>14</v>
      </c>
      <c r="P204" s="4">
        <f t="shared" si="44"/>
        <v>11.2</v>
      </c>
      <c r="R204" s="4">
        <f t="shared" si="45"/>
        <v>30</v>
      </c>
      <c r="U204" s="33" t="str">
        <f t="shared" si="41"/>
        <v/>
      </c>
      <c r="BA204" s="4">
        <v>588</v>
      </c>
      <c r="BB204" s="4">
        <v>0.5</v>
      </c>
      <c r="BC204" s="4" t="s">
        <v>2065</v>
      </c>
      <c r="BD204" s="4" t="s">
        <v>2020</v>
      </c>
      <c r="BE204" s="4" t="s">
        <v>240</v>
      </c>
      <c r="BF204" s="4">
        <v>5.8</v>
      </c>
      <c r="BG204" s="4">
        <v>14</v>
      </c>
      <c r="BI204" s="4">
        <v>11.2</v>
      </c>
      <c r="BK204" s="4">
        <v>30</v>
      </c>
      <c r="BL204" s="4" t="s">
        <v>2066</v>
      </c>
      <c r="BM204" s="4" t="s">
        <v>2067</v>
      </c>
    </row>
    <row r="205" spans="4:65">
      <c r="D205" s="17" t="str">
        <f t="shared" si="40"/>
        <v>EinzelfuttermittelKatzeEi- und Milchprodukte</v>
      </c>
      <c r="E205" s="4" t="s">
        <v>240</v>
      </c>
      <c r="F205" s="19" t="s">
        <v>90</v>
      </c>
      <c r="G205" s="4" t="s">
        <v>2856</v>
      </c>
      <c r="L205" s="4" t="s">
        <v>2873</v>
      </c>
      <c r="M205" s="4">
        <f t="shared" si="42"/>
        <v>3.9</v>
      </c>
      <c r="N205" s="4">
        <f t="shared" si="43"/>
        <v>47.1</v>
      </c>
      <c r="P205" s="4">
        <f t="shared" si="44"/>
        <v>2.2999999999999998</v>
      </c>
      <c r="R205" s="4">
        <f t="shared" si="45"/>
        <v>1</v>
      </c>
      <c r="S205" s="4">
        <v>360</v>
      </c>
      <c r="T205" s="4">
        <v>380</v>
      </c>
      <c r="U205" s="33">
        <f t="shared" si="41"/>
        <v>0.94736842105263153</v>
      </c>
      <c r="X205" s="4">
        <v>320</v>
      </c>
      <c r="BB205" s="4">
        <v>0.15</v>
      </c>
      <c r="BC205" s="4" t="s">
        <v>2068</v>
      </c>
      <c r="BD205" s="4" t="s">
        <v>2020</v>
      </c>
      <c r="BE205" s="4" t="s">
        <v>240</v>
      </c>
      <c r="BF205" s="4">
        <v>3.9</v>
      </c>
      <c r="BG205" s="4">
        <v>47.1</v>
      </c>
      <c r="BI205" s="4">
        <v>2.2999999999999998</v>
      </c>
      <c r="BK205" s="4">
        <v>1</v>
      </c>
      <c r="BL205" s="4" t="s">
        <v>2070</v>
      </c>
      <c r="BM205" s="4" t="s">
        <v>2069</v>
      </c>
    </row>
    <row r="206" spans="4:65">
      <c r="D206" s="17" t="str">
        <f t="shared" si="40"/>
        <v>EinzelfuttermittelKatzeEi- und Milchprodukte</v>
      </c>
      <c r="E206" s="4" t="s">
        <v>240</v>
      </c>
      <c r="F206" s="19" t="s">
        <v>90</v>
      </c>
      <c r="G206" s="4" t="s">
        <v>2856</v>
      </c>
      <c r="L206" s="4" t="s">
        <v>2873</v>
      </c>
      <c r="M206" s="4">
        <f t="shared" si="42"/>
        <v>0.79</v>
      </c>
      <c r="N206" s="4">
        <f t="shared" si="43"/>
        <v>5.0999999999999996</v>
      </c>
      <c r="P206" s="4">
        <f t="shared" si="44"/>
        <v>0.1</v>
      </c>
      <c r="R206" s="4">
        <f t="shared" si="45"/>
        <v>1</v>
      </c>
      <c r="S206" s="4">
        <v>90</v>
      </c>
      <c r="T206" s="4">
        <v>90</v>
      </c>
      <c r="U206" s="33">
        <f t="shared" si="41"/>
        <v>1</v>
      </c>
      <c r="X206" s="4">
        <v>60</v>
      </c>
      <c r="BA206" s="4">
        <v>252</v>
      </c>
      <c r="BB206" s="4">
        <v>3</v>
      </c>
      <c r="BC206" s="4" t="s">
        <v>2071</v>
      </c>
      <c r="BD206" s="4" t="s">
        <v>2020</v>
      </c>
      <c r="BE206" s="4" t="s">
        <v>240</v>
      </c>
      <c r="BF206" s="4">
        <v>0.79</v>
      </c>
      <c r="BG206" s="4">
        <v>5.0999999999999996</v>
      </c>
      <c r="BI206" s="4">
        <v>0.1</v>
      </c>
      <c r="BK206" s="4">
        <v>1</v>
      </c>
      <c r="BL206" s="4" t="s">
        <v>2073</v>
      </c>
      <c r="BM206" s="4" t="s">
        <v>2072</v>
      </c>
    </row>
    <row r="207" spans="4:65">
      <c r="D207" s="17" t="str">
        <f t="shared" si="40"/>
        <v>EinzelfuttermittelKatzeMineralstoffe</v>
      </c>
      <c r="E207" s="4" t="s">
        <v>240</v>
      </c>
      <c r="F207" s="19" t="s">
        <v>90</v>
      </c>
      <c r="G207" s="4" t="s">
        <v>437</v>
      </c>
      <c r="L207" s="4" t="s">
        <v>1038</v>
      </c>
      <c r="M207" s="4">
        <f t="shared" si="42"/>
        <v>0</v>
      </c>
      <c r="N207" s="4">
        <f t="shared" si="43"/>
        <v>0</v>
      </c>
      <c r="P207" s="4">
        <f t="shared" si="44"/>
        <v>0</v>
      </c>
      <c r="R207" s="4">
        <f t="shared" si="45"/>
        <v>0</v>
      </c>
      <c r="S207" s="4">
        <v>36000</v>
      </c>
      <c r="T207" s="4">
        <v>1</v>
      </c>
      <c r="U207" s="33">
        <f t="shared" si="41"/>
        <v>36000</v>
      </c>
      <c r="BA207" s="4">
        <v>12</v>
      </c>
      <c r="BC207" s="4" t="s">
        <v>1038</v>
      </c>
      <c r="BD207" s="4" t="s">
        <v>2116</v>
      </c>
      <c r="BE207" s="4" t="s">
        <v>240</v>
      </c>
      <c r="BL207" s="4" t="s">
        <v>2122</v>
      </c>
      <c r="BM207" s="4" t="s">
        <v>2121</v>
      </c>
    </row>
    <row r="208" spans="4:65">
      <c r="D208" s="17" t="str">
        <f t="shared" si="40"/>
        <v>EinzelfuttermittelKatzeEi- und Milchprodukte</v>
      </c>
      <c r="E208" s="4" t="s">
        <v>240</v>
      </c>
      <c r="F208" s="19" t="s">
        <v>90</v>
      </c>
      <c r="G208" s="4" t="s">
        <v>2856</v>
      </c>
      <c r="L208" s="4" t="s">
        <v>2858</v>
      </c>
      <c r="M208" s="4">
        <f t="shared" si="42"/>
        <v>0</v>
      </c>
      <c r="N208" s="4">
        <f t="shared" si="43"/>
        <v>0</v>
      </c>
      <c r="P208" s="4">
        <f t="shared" si="44"/>
        <v>0</v>
      </c>
      <c r="R208" s="4">
        <f t="shared" si="45"/>
        <v>0</v>
      </c>
      <c r="S208" s="4">
        <v>38800</v>
      </c>
      <c r="T208" s="4">
        <v>1</v>
      </c>
      <c r="U208" s="33">
        <f t="shared" si="41"/>
        <v>38800</v>
      </c>
      <c r="AA208" s="4">
        <v>0.27</v>
      </c>
      <c r="AB208" s="4">
        <v>0.61</v>
      </c>
      <c r="BA208" s="4">
        <v>45.56</v>
      </c>
      <c r="BC208" s="4" t="s">
        <v>477</v>
      </c>
      <c r="BD208" s="4" t="s">
        <v>2116</v>
      </c>
      <c r="BE208" s="4" t="s">
        <v>240</v>
      </c>
      <c r="BL208" s="4" t="s">
        <v>2124</v>
      </c>
      <c r="BM208" s="4" t="s">
        <v>2123</v>
      </c>
    </row>
    <row r="209" spans="4:65">
      <c r="D209" s="17" t="str">
        <f t="shared" si="40"/>
        <v>EinzelfuttermittelKatzeGemüse, Obst und Faserstoffe</v>
      </c>
      <c r="E209" s="4" t="s">
        <v>240</v>
      </c>
      <c r="F209" s="19" t="s">
        <v>90</v>
      </c>
      <c r="G209" s="4" t="s">
        <v>2855</v>
      </c>
      <c r="L209" s="27" t="s">
        <v>334</v>
      </c>
      <c r="M209" s="4">
        <f t="shared" si="42"/>
        <v>0</v>
      </c>
      <c r="N209" s="4">
        <f t="shared" si="43"/>
        <v>0</v>
      </c>
      <c r="P209" s="4">
        <f t="shared" si="44"/>
        <v>0</v>
      </c>
      <c r="R209" s="4">
        <f t="shared" si="45"/>
        <v>0</v>
      </c>
      <c r="U209" s="33" t="str">
        <f t="shared" si="41"/>
        <v/>
      </c>
      <c r="BA209" s="4">
        <v>37.6</v>
      </c>
      <c r="BC209" s="4" t="s">
        <v>1834</v>
      </c>
      <c r="BD209" s="4" t="s">
        <v>2116</v>
      </c>
      <c r="BE209" s="4" t="s">
        <v>240</v>
      </c>
      <c r="BL209" s="4" t="s">
        <v>2126</v>
      </c>
      <c r="BM209" s="4" t="s">
        <v>2125</v>
      </c>
    </row>
    <row r="210" spans="4:65">
      <c r="D210" s="17" t="str">
        <f t="shared" si="40"/>
        <v>EinzelfuttermittelKatzeFleisch-, Fisch- und Algenprodukte</v>
      </c>
      <c r="E210" s="4" t="s">
        <v>240</v>
      </c>
      <c r="F210" s="19" t="s">
        <v>90</v>
      </c>
      <c r="G210" s="4" t="s">
        <v>2854</v>
      </c>
      <c r="L210" s="4" t="s">
        <v>2859</v>
      </c>
      <c r="M210" s="4">
        <f t="shared" si="42"/>
        <v>10</v>
      </c>
      <c r="N210" s="4">
        <f t="shared" si="43"/>
        <v>60</v>
      </c>
      <c r="P210" s="4">
        <f t="shared" si="44"/>
        <v>0</v>
      </c>
      <c r="R210" s="4">
        <f t="shared" si="45"/>
        <v>0</v>
      </c>
      <c r="T210" s="4">
        <v>700</v>
      </c>
      <c r="U210" s="33" t="str">
        <f t="shared" si="41"/>
        <v/>
      </c>
      <c r="V210" s="4">
        <v>150</v>
      </c>
      <c r="Z210" s="4">
        <v>50</v>
      </c>
      <c r="AB210" s="4">
        <v>2.5</v>
      </c>
      <c r="AC210" s="4">
        <v>1</v>
      </c>
      <c r="AN210" s="4">
        <v>5</v>
      </c>
      <c r="BA210" s="4">
        <v>79</v>
      </c>
      <c r="BC210" s="4" t="s">
        <v>516</v>
      </c>
      <c r="BD210" s="4" t="s">
        <v>2116</v>
      </c>
      <c r="BE210" s="4" t="s">
        <v>240</v>
      </c>
      <c r="BF210" s="4">
        <v>10</v>
      </c>
      <c r="BG210" s="4">
        <v>60</v>
      </c>
      <c r="BL210" s="4" t="s">
        <v>2128</v>
      </c>
      <c r="BM210" s="4" t="s">
        <v>2127</v>
      </c>
    </row>
    <row r="211" spans="4:65">
      <c r="D211" s="17" t="str">
        <f t="shared" si="40"/>
        <v>EinzelfuttermittelKatzeGemüse, Obst und Faserstoffe</v>
      </c>
      <c r="E211" s="4" t="s">
        <v>240</v>
      </c>
      <c r="F211" s="19" t="s">
        <v>90</v>
      </c>
      <c r="G211" s="4" t="s">
        <v>2855</v>
      </c>
      <c r="L211" s="4" t="s">
        <v>2897</v>
      </c>
      <c r="M211" s="4">
        <f t="shared" si="42"/>
        <v>0</v>
      </c>
      <c r="N211" s="4">
        <f t="shared" si="43"/>
        <v>0</v>
      </c>
      <c r="P211" s="4">
        <f t="shared" si="44"/>
        <v>0</v>
      </c>
      <c r="R211" s="4">
        <f t="shared" si="45"/>
        <v>0</v>
      </c>
      <c r="U211" s="33" t="str">
        <f t="shared" si="41"/>
        <v/>
      </c>
      <c r="BA211" s="4">
        <v>33.450000000000003</v>
      </c>
      <c r="BC211" s="4" t="s">
        <v>2133</v>
      </c>
      <c r="BD211" s="4" t="s">
        <v>2116</v>
      </c>
      <c r="BE211" s="4" t="s">
        <v>240</v>
      </c>
      <c r="BL211" s="4" t="s">
        <v>2134</v>
      </c>
      <c r="BM211" s="4" t="s">
        <v>2135</v>
      </c>
    </row>
    <row r="212" spans="4:65">
      <c r="D212" s="17" t="str">
        <f t="shared" si="40"/>
        <v>EinzelfuttermittelKatzeMineralstoffe</v>
      </c>
      <c r="E212" s="4" t="s">
        <v>240</v>
      </c>
      <c r="F212" s="19" t="s">
        <v>90</v>
      </c>
      <c r="G212" s="4" t="s">
        <v>437</v>
      </c>
      <c r="L212" s="4" t="s">
        <v>2870</v>
      </c>
      <c r="M212" s="4">
        <f t="shared" si="42"/>
        <v>0</v>
      </c>
      <c r="N212" s="4">
        <f t="shared" si="43"/>
        <v>0</v>
      </c>
      <c r="P212" s="4">
        <f t="shared" si="44"/>
        <v>0</v>
      </c>
      <c r="R212" s="4">
        <f t="shared" si="45"/>
        <v>0</v>
      </c>
      <c r="U212" s="33" t="str">
        <f t="shared" si="41"/>
        <v/>
      </c>
      <c r="BA212" s="4">
        <v>133.94999999999999</v>
      </c>
      <c r="BC212" s="4" t="s">
        <v>1073</v>
      </c>
      <c r="BD212" s="4" t="s">
        <v>2116</v>
      </c>
      <c r="BE212" s="4" t="s">
        <v>240</v>
      </c>
      <c r="BL212" s="4" t="s">
        <v>2140</v>
      </c>
      <c r="BM212" s="4" t="s">
        <v>2139</v>
      </c>
    </row>
    <row r="213" spans="4:65">
      <c r="D213" s="17" t="str">
        <f t="shared" si="40"/>
        <v>EinzelfuttermittelKatzeGetreide, Samen, Leguminosen und Kartoffel-Produkte</v>
      </c>
      <c r="E213" s="4" t="s">
        <v>240</v>
      </c>
      <c r="F213" s="19" t="s">
        <v>90</v>
      </c>
      <c r="G213" s="4" t="s">
        <v>2857</v>
      </c>
      <c r="L213" s="4" t="s">
        <v>2866</v>
      </c>
      <c r="M213" s="4">
        <f t="shared" si="42"/>
        <v>0</v>
      </c>
      <c r="N213" s="4">
        <f t="shared" si="43"/>
        <v>0</v>
      </c>
      <c r="P213" s="4">
        <f t="shared" si="44"/>
        <v>0</v>
      </c>
      <c r="R213" s="4">
        <f t="shared" si="45"/>
        <v>0</v>
      </c>
      <c r="U213" s="33" t="str">
        <f t="shared" si="41"/>
        <v/>
      </c>
      <c r="BA213" s="4">
        <v>35.97</v>
      </c>
      <c r="BC213" s="4" t="s">
        <v>1980</v>
      </c>
      <c r="BD213" s="4" t="s">
        <v>2116</v>
      </c>
      <c r="BE213" s="4" t="s">
        <v>240</v>
      </c>
      <c r="BL213" s="4" t="s">
        <v>2141</v>
      </c>
      <c r="BM213" s="4" t="s">
        <v>2142</v>
      </c>
    </row>
    <row r="214" spans="4:65">
      <c r="D214" s="17" t="str">
        <f t="shared" si="40"/>
        <v>EinzelfuttermittelKatzeInnereien, TNPs, Schlachtabfälle und Tiermehle</v>
      </c>
      <c r="E214" s="4" t="s">
        <v>240</v>
      </c>
      <c r="F214" s="19" t="s">
        <v>90</v>
      </c>
      <c r="G214" s="4" t="s">
        <v>2852</v>
      </c>
      <c r="L214" s="4" t="s">
        <v>2883</v>
      </c>
      <c r="M214" s="4">
        <f t="shared" si="42"/>
        <v>0</v>
      </c>
      <c r="N214" s="4">
        <f t="shared" si="43"/>
        <v>0</v>
      </c>
      <c r="P214" s="4">
        <f t="shared" si="44"/>
        <v>0</v>
      </c>
      <c r="R214" s="4">
        <f t="shared" si="45"/>
        <v>0</v>
      </c>
      <c r="U214" s="33" t="str">
        <f t="shared" si="41"/>
        <v/>
      </c>
      <c r="BA214" s="4">
        <v>39.979999999999997</v>
      </c>
      <c r="BC214" s="4" t="s">
        <v>2146</v>
      </c>
      <c r="BD214" s="4" t="s">
        <v>2116</v>
      </c>
      <c r="BE214" s="4" t="s">
        <v>240</v>
      </c>
      <c r="BL214" s="4" t="s">
        <v>2148</v>
      </c>
      <c r="BM214" s="4" t="s">
        <v>2147</v>
      </c>
    </row>
    <row r="215" spans="4:65">
      <c r="D215" s="17" t="str">
        <f t="shared" si="40"/>
        <v>EinzelfuttermittelKatzeFleisch-, Fisch- und Algenprodukte</v>
      </c>
      <c r="E215" s="4" t="s">
        <v>240</v>
      </c>
      <c r="F215" s="19" t="s">
        <v>90</v>
      </c>
      <c r="G215" s="4" t="s">
        <v>2854</v>
      </c>
      <c r="L215" s="4" t="s">
        <v>2864</v>
      </c>
      <c r="M215" s="4">
        <f t="shared" si="42"/>
        <v>10</v>
      </c>
      <c r="N215" s="4">
        <f t="shared" si="43"/>
        <v>57.8</v>
      </c>
      <c r="P215" s="4">
        <f t="shared" si="44"/>
        <v>10.199999999999999</v>
      </c>
      <c r="R215" s="4">
        <f t="shared" si="45"/>
        <v>0</v>
      </c>
      <c r="U215" s="33" t="str">
        <f t="shared" si="41"/>
        <v/>
      </c>
      <c r="BA215" s="4">
        <v>109</v>
      </c>
      <c r="BC215" s="4" t="s">
        <v>2149</v>
      </c>
      <c r="BD215" s="4" t="s">
        <v>2116</v>
      </c>
      <c r="BE215" s="4" t="s">
        <v>240</v>
      </c>
      <c r="BF215" s="4">
        <v>10</v>
      </c>
      <c r="BG215" s="4">
        <v>57.8</v>
      </c>
      <c r="BI215" s="4">
        <v>10.199999999999999</v>
      </c>
      <c r="BL215" s="4" t="s">
        <v>2151</v>
      </c>
      <c r="BM215" s="4" t="s">
        <v>2150</v>
      </c>
    </row>
    <row r="216" spans="4:65">
      <c r="D216" s="17" t="str">
        <f t="shared" si="40"/>
        <v>EinzelfuttermittelKatzeGetreide, Samen, Leguminosen und Kartoffel-Produkte</v>
      </c>
      <c r="E216" s="4" t="s">
        <v>240</v>
      </c>
      <c r="F216" s="19" t="s">
        <v>90</v>
      </c>
      <c r="G216" s="4" t="s">
        <v>2857</v>
      </c>
      <c r="L216" s="27" t="s">
        <v>2152</v>
      </c>
      <c r="M216" s="4">
        <f t="shared" si="42"/>
        <v>0</v>
      </c>
      <c r="N216" s="4">
        <f t="shared" si="43"/>
        <v>0</v>
      </c>
      <c r="P216" s="4">
        <f t="shared" si="44"/>
        <v>0</v>
      </c>
      <c r="R216" s="4">
        <f t="shared" si="45"/>
        <v>0</v>
      </c>
      <c r="U216" s="33" t="str">
        <f t="shared" si="41"/>
        <v/>
      </c>
      <c r="BA216" s="4">
        <v>124</v>
      </c>
      <c r="BC216" s="4" t="s">
        <v>2153</v>
      </c>
      <c r="BD216" s="4" t="s">
        <v>2116</v>
      </c>
      <c r="BE216" s="4" t="s">
        <v>240</v>
      </c>
      <c r="BL216" s="4" t="s">
        <v>2155</v>
      </c>
      <c r="BM216" s="4" t="s">
        <v>2154</v>
      </c>
    </row>
    <row r="217" spans="4:65">
      <c r="D217" s="17" t="str">
        <f t="shared" si="40"/>
        <v>EinzelfuttermittelKatzeFleisch-, Fisch- und Algenprodukte</v>
      </c>
      <c r="E217" s="4" t="s">
        <v>240</v>
      </c>
      <c r="F217" s="19" t="s">
        <v>90</v>
      </c>
      <c r="G217" s="4" t="s">
        <v>2854</v>
      </c>
      <c r="L217" s="4" t="s">
        <v>220</v>
      </c>
      <c r="M217" s="4">
        <f t="shared" si="42"/>
        <v>15.4</v>
      </c>
      <c r="N217" s="4">
        <f t="shared" si="43"/>
        <v>5.7</v>
      </c>
      <c r="P217" s="4">
        <f t="shared" si="44"/>
        <v>2.6</v>
      </c>
      <c r="R217" s="4">
        <f t="shared" si="45"/>
        <v>7</v>
      </c>
      <c r="U217" s="33" t="str">
        <f t="shared" si="41"/>
        <v/>
      </c>
      <c r="BA217" s="4">
        <v>17.98</v>
      </c>
      <c r="BC217" s="4" t="s">
        <v>2171</v>
      </c>
      <c r="BD217" s="4" t="s">
        <v>2116</v>
      </c>
      <c r="BE217" s="4" t="s">
        <v>240</v>
      </c>
      <c r="BF217" s="4">
        <v>15.4</v>
      </c>
      <c r="BG217" s="4">
        <v>5.7</v>
      </c>
      <c r="BI217" s="4">
        <v>2.6</v>
      </c>
      <c r="BK217" s="4">
        <v>7</v>
      </c>
      <c r="BL217" s="4" t="s">
        <v>2172</v>
      </c>
      <c r="BM217" s="4" t="s">
        <v>2173</v>
      </c>
    </row>
    <row r="218" spans="4:65">
      <c r="D218" s="17" t="str">
        <f t="shared" si="40"/>
        <v>EinzelfuttermittelKatzeGemüse, Obst und Faserstoffe</v>
      </c>
      <c r="E218" s="4" t="s">
        <v>240</v>
      </c>
      <c r="F218" s="19" t="s">
        <v>90</v>
      </c>
      <c r="G218" s="4" t="s">
        <v>2855</v>
      </c>
      <c r="L218" s="27" t="s">
        <v>3270</v>
      </c>
      <c r="M218" s="4">
        <f t="shared" ref="M218:M249" si="46">BF218</f>
        <v>0</v>
      </c>
      <c r="N218" s="4">
        <f t="shared" ref="N218:N249" si="47">BG218</f>
        <v>0</v>
      </c>
      <c r="P218" s="4">
        <f t="shared" ref="P218:P249" si="48">BI218</f>
        <v>0</v>
      </c>
      <c r="R218" s="4">
        <f t="shared" ref="R218:R249" si="49">BK218</f>
        <v>0</v>
      </c>
      <c r="U218" s="33" t="str">
        <f t="shared" si="41"/>
        <v/>
      </c>
      <c r="BA218" s="4">
        <v>56.6</v>
      </c>
      <c r="BC218" s="4" t="s">
        <v>1986</v>
      </c>
      <c r="BD218" s="4" t="s">
        <v>2116</v>
      </c>
      <c r="BE218" s="4" t="s">
        <v>240</v>
      </c>
      <c r="BL218" s="4" t="s">
        <v>2174</v>
      </c>
      <c r="BM218" s="4" t="s">
        <v>2175</v>
      </c>
    </row>
    <row r="219" spans="4:65">
      <c r="D219" s="17" t="str">
        <f t="shared" si="40"/>
        <v>EinzelfuttermittelKatzeGemüse, Obst und Faserstoffe</v>
      </c>
      <c r="E219" s="4" t="s">
        <v>240</v>
      </c>
      <c r="F219" s="19" t="s">
        <v>90</v>
      </c>
      <c r="G219" s="4" t="s">
        <v>2855</v>
      </c>
      <c r="L219" s="27" t="s">
        <v>2004</v>
      </c>
      <c r="M219" s="4">
        <f t="shared" si="46"/>
        <v>0</v>
      </c>
      <c r="N219" s="4">
        <f t="shared" si="47"/>
        <v>0</v>
      </c>
      <c r="P219" s="4">
        <f t="shared" si="48"/>
        <v>0</v>
      </c>
      <c r="R219" s="4">
        <f t="shared" si="49"/>
        <v>0</v>
      </c>
      <c r="U219" s="33" t="str">
        <f t="shared" si="41"/>
        <v/>
      </c>
      <c r="BA219" s="4">
        <v>127.9</v>
      </c>
      <c r="BC219" s="4" t="s">
        <v>2176</v>
      </c>
      <c r="BD219" s="4" t="s">
        <v>2116</v>
      </c>
      <c r="BE219" s="4" t="s">
        <v>240</v>
      </c>
      <c r="BL219" s="4" t="s">
        <v>2178</v>
      </c>
      <c r="BM219" s="4" t="s">
        <v>2177</v>
      </c>
    </row>
    <row r="220" spans="4:65">
      <c r="D220" s="17" t="str">
        <f t="shared" si="40"/>
        <v>EinzelfuttermittelKatzeGetreide, Samen, Leguminosen und Kartoffel-Produkte</v>
      </c>
      <c r="E220" s="4" t="s">
        <v>240</v>
      </c>
      <c r="F220" s="19" t="s">
        <v>90</v>
      </c>
      <c r="G220" s="4" t="s">
        <v>2857</v>
      </c>
      <c r="L220" s="4" t="s">
        <v>2886</v>
      </c>
      <c r="M220" s="4">
        <f t="shared" si="46"/>
        <v>0</v>
      </c>
      <c r="N220" s="4">
        <f t="shared" si="47"/>
        <v>0</v>
      </c>
      <c r="P220" s="4">
        <f t="shared" si="48"/>
        <v>0</v>
      </c>
      <c r="R220" s="4">
        <f t="shared" si="49"/>
        <v>0</v>
      </c>
      <c r="U220" s="33" t="str">
        <f t="shared" si="41"/>
        <v/>
      </c>
      <c r="BA220" s="4">
        <v>182.08</v>
      </c>
      <c r="BC220" s="4" t="s">
        <v>1983</v>
      </c>
      <c r="BD220" s="4" t="s">
        <v>2116</v>
      </c>
      <c r="BE220" s="4" t="s">
        <v>240</v>
      </c>
      <c r="BL220" s="4" t="s">
        <v>2180</v>
      </c>
      <c r="BM220" s="4" t="s">
        <v>2179</v>
      </c>
    </row>
    <row r="221" spans="4:65">
      <c r="D221" s="17" t="str">
        <f t="shared" si="40"/>
        <v>EinzelfuttermittelKatzeGemüse, Obst und Faserstoffe</v>
      </c>
      <c r="E221" s="4" t="s">
        <v>240</v>
      </c>
      <c r="F221" s="19" t="s">
        <v>90</v>
      </c>
      <c r="G221" s="4" t="s">
        <v>2855</v>
      </c>
      <c r="L221" s="27" t="s">
        <v>3269</v>
      </c>
      <c r="M221" s="4">
        <f t="shared" si="46"/>
        <v>0</v>
      </c>
      <c r="N221" s="4">
        <f t="shared" si="47"/>
        <v>0</v>
      </c>
      <c r="P221" s="4">
        <f t="shared" si="48"/>
        <v>0</v>
      </c>
      <c r="R221" s="4">
        <f t="shared" si="49"/>
        <v>0</v>
      </c>
      <c r="U221" s="33" t="str">
        <f t="shared" si="41"/>
        <v/>
      </c>
      <c r="BA221" s="4">
        <v>47</v>
      </c>
      <c r="BC221" s="4" t="s">
        <v>1998</v>
      </c>
      <c r="BD221" s="4" t="s">
        <v>2116</v>
      </c>
      <c r="BE221" s="4" t="s">
        <v>240</v>
      </c>
      <c r="BL221" s="4" t="s">
        <v>2181</v>
      </c>
      <c r="BM221" s="4" t="s">
        <v>2182</v>
      </c>
    </row>
    <row r="222" spans="4:65">
      <c r="D222" s="17" t="str">
        <f t="shared" si="40"/>
        <v>EinzelfuttermittelKatzeGemüse, Obst und Faserstoffe</v>
      </c>
      <c r="E222" s="4" t="s">
        <v>240</v>
      </c>
      <c r="F222" s="19" t="s">
        <v>90</v>
      </c>
      <c r="G222" s="4" t="s">
        <v>2855</v>
      </c>
      <c r="L222" s="27" t="s">
        <v>3268</v>
      </c>
      <c r="M222" s="4">
        <f t="shared" si="46"/>
        <v>0</v>
      </c>
      <c r="N222" s="4">
        <f t="shared" si="47"/>
        <v>0</v>
      </c>
      <c r="P222" s="4">
        <f t="shared" si="48"/>
        <v>0</v>
      </c>
      <c r="R222" s="4">
        <f t="shared" si="49"/>
        <v>0</v>
      </c>
      <c r="U222" s="33" t="str">
        <f t="shared" si="41"/>
        <v/>
      </c>
      <c r="BA222" s="4">
        <v>99.33</v>
      </c>
      <c r="BC222" s="4" t="s">
        <v>1995</v>
      </c>
      <c r="BD222" s="4" t="s">
        <v>2116</v>
      </c>
      <c r="BE222" s="4" t="s">
        <v>240</v>
      </c>
      <c r="BL222" s="4" t="s">
        <v>2183</v>
      </c>
      <c r="BM222" s="4" t="s">
        <v>2184</v>
      </c>
    </row>
    <row r="223" spans="4:65">
      <c r="D223" s="17" t="str">
        <f t="shared" si="40"/>
        <v>EinzelfuttermittelKatzeInnereien, TNPs, Schlachtabfälle und Tiermehle</v>
      </c>
      <c r="E223" s="4" t="s">
        <v>240</v>
      </c>
      <c r="F223" s="19" t="s">
        <v>90</v>
      </c>
      <c r="G223" s="4" t="s">
        <v>2852</v>
      </c>
      <c r="L223" s="4" t="s">
        <v>2874</v>
      </c>
      <c r="M223" s="4">
        <f t="shared" si="46"/>
        <v>51.4</v>
      </c>
      <c r="N223" s="4">
        <f t="shared" si="47"/>
        <v>33.799999999999997</v>
      </c>
      <c r="P223" s="4">
        <f t="shared" si="48"/>
        <v>13.3</v>
      </c>
      <c r="R223" s="4">
        <f t="shared" si="49"/>
        <v>0.02</v>
      </c>
      <c r="S223" s="4">
        <v>29900</v>
      </c>
      <c r="T223" s="4">
        <v>17100</v>
      </c>
      <c r="U223" s="33">
        <f t="shared" si="41"/>
        <v>1.7485380116959064</v>
      </c>
      <c r="V223" s="4">
        <v>1200</v>
      </c>
      <c r="BA223" s="4">
        <v>29.8</v>
      </c>
      <c r="BC223" s="4" t="s">
        <v>486</v>
      </c>
      <c r="BD223" s="4" t="s">
        <v>2188</v>
      </c>
      <c r="BE223" s="4" t="s">
        <v>240</v>
      </c>
      <c r="BF223" s="4">
        <v>51.4</v>
      </c>
      <c r="BG223" s="4">
        <v>33.799999999999997</v>
      </c>
      <c r="BI223" s="4">
        <v>13.3</v>
      </c>
      <c r="BK223" s="4">
        <v>0.02</v>
      </c>
      <c r="BL223" s="4" t="s">
        <v>2190</v>
      </c>
      <c r="BM223" s="4" t="s">
        <v>2189</v>
      </c>
    </row>
    <row r="224" spans="4:65">
      <c r="D224" s="17" t="str">
        <f t="shared" si="40"/>
        <v>EinzelfuttermittelKatzeFleisch-, Fisch- und Algenprodukte</v>
      </c>
      <c r="E224" s="4" t="s">
        <v>240</v>
      </c>
      <c r="F224" s="19" t="s">
        <v>90</v>
      </c>
      <c r="G224" s="4" t="s">
        <v>2854</v>
      </c>
      <c r="L224" s="4" t="s">
        <v>2860</v>
      </c>
      <c r="M224" s="4">
        <f t="shared" si="46"/>
        <v>0</v>
      </c>
      <c r="N224" s="4">
        <f t="shared" si="47"/>
        <v>0</v>
      </c>
      <c r="P224" s="4">
        <f t="shared" si="48"/>
        <v>0</v>
      </c>
      <c r="R224" s="4">
        <f t="shared" si="49"/>
        <v>0</v>
      </c>
      <c r="S224" s="4">
        <v>34000</v>
      </c>
      <c r="T224" s="4">
        <v>40</v>
      </c>
      <c r="U224" s="33">
        <f t="shared" si="41"/>
        <v>850</v>
      </c>
      <c r="BA224" s="4">
        <v>23</v>
      </c>
      <c r="BC224" s="4" t="s">
        <v>2198</v>
      </c>
      <c r="BD224" s="4" t="s">
        <v>2188</v>
      </c>
      <c r="BE224" s="4" t="s">
        <v>240</v>
      </c>
      <c r="BL224" s="4" t="s">
        <v>2199</v>
      </c>
      <c r="BM224" s="4" t="s">
        <v>2200</v>
      </c>
    </row>
    <row r="225" spans="4:65">
      <c r="D225" s="17" t="str">
        <f t="shared" ref="D225:D253" si="50">E225&amp;""&amp;F225&amp;""&amp;G225&amp;""&amp;H225</f>
        <v>EinzelfuttermittelKatzeGemüse, Obst und Faserstoffe</v>
      </c>
      <c r="E225" s="4" t="s">
        <v>240</v>
      </c>
      <c r="F225" s="19" t="s">
        <v>90</v>
      </c>
      <c r="G225" s="32" t="s">
        <v>2855</v>
      </c>
      <c r="L225" s="4" t="s">
        <v>2867</v>
      </c>
      <c r="M225" s="4">
        <f t="shared" si="46"/>
        <v>6.95</v>
      </c>
      <c r="N225" s="4">
        <f t="shared" si="47"/>
        <v>46</v>
      </c>
      <c r="P225" s="4">
        <f t="shared" si="48"/>
        <v>1.08</v>
      </c>
      <c r="R225" s="4">
        <f t="shared" si="49"/>
        <v>0.95</v>
      </c>
      <c r="U225" s="33" t="str">
        <f t="shared" si="41"/>
        <v/>
      </c>
      <c r="BA225" s="4">
        <v>17</v>
      </c>
      <c r="BC225" s="4" t="s">
        <v>524</v>
      </c>
      <c r="BD225" s="4" t="s">
        <v>2188</v>
      </c>
      <c r="BE225" s="4" t="s">
        <v>240</v>
      </c>
      <c r="BF225" s="4">
        <v>6.95</v>
      </c>
      <c r="BG225" s="4">
        <v>46</v>
      </c>
      <c r="BI225" s="4">
        <v>1.08</v>
      </c>
      <c r="BK225" s="4">
        <v>0.95</v>
      </c>
      <c r="BL225" s="4" t="s">
        <v>2201</v>
      </c>
      <c r="BM225" s="4" t="s">
        <v>2202</v>
      </c>
    </row>
    <row r="226" spans="4:65">
      <c r="D226" s="17" t="str">
        <f t="shared" si="50"/>
        <v>EinzelfuttermittelKatzeGetreide, Samen, Leguminosen und Kartoffel-Produkte</v>
      </c>
      <c r="E226" s="4" t="s">
        <v>240</v>
      </c>
      <c r="F226" s="19" t="s">
        <v>90</v>
      </c>
      <c r="G226" s="4" t="s">
        <v>2857</v>
      </c>
      <c r="L226" s="4" t="s">
        <v>2896</v>
      </c>
      <c r="M226" s="4">
        <f t="shared" si="46"/>
        <v>0</v>
      </c>
      <c r="N226" s="4">
        <f t="shared" si="47"/>
        <v>0</v>
      </c>
      <c r="P226" s="4">
        <f t="shared" si="48"/>
        <v>0</v>
      </c>
      <c r="R226" s="4">
        <f t="shared" si="49"/>
        <v>0</v>
      </c>
      <c r="U226" s="33" t="str">
        <f t="shared" si="41"/>
        <v/>
      </c>
      <c r="AO226" s="4">
        <v>202</v>
      </c>
      <c r="AP226" s="4">
        <v>295</v>
      </c>
      <c r="AQ226" s="4">
        <v>190</v>
      </c>
      <c r="AR226" s="4">
        <v>463</v>
      </c>
      <c r="AS226" s="4">
        <v>119</v>
      </c>
      <c r="AT226" s="4">
        <v>3600</v>
      </c>
      <c r="AU226" s="4">
        <v>1210</v>
      </c>
      <c r="AV226" s="4">
        <v>41561</v>
      </c>
      <c r="BA226" s="4">
        <v>146.33000000000001</v>
      </c>
      <c r="BB226" s="4">
        <v>0.5</v>
      </c>
      <c r="BC226" s="4" t="s">
        <v>530</v>
      </c>
      <c r="BD226" s="4" t="s">
        <v>2188</v>
      </c>
      <c r="BE226" s="4" t="s">
        <v>240</v>
      </c>
      <c r="BL226" s="4" t="s">
        <v>530</v>
      </c>
      <c r="BM226" s="4" t="s">
        <v>2203</v>
      </c>
    </row>
    <row r="227" spans="4:65">
      <c r="D227" s="17" t="str">
        <f t="shared" si="50"/>
        <v>EinzelfuttermittelKatzeEi- und Milchprodukte</v>
      </c>
      <c r="E227" s="4" t="s">
        <v>240</v>
      </c>
      <c r="F227" s="19" t="s">
        <v>90</v>
      </c>
      <c r="G227" s="4" t="s">
        <v>2856</v>
      </c>
      <c r="L227" s="4" t="s">
        <v>2858</v>
      </c>
      <c r="M227" s="4">
        <f t="shared" si="46"/>
        <v>0</v>
      </c>
      <c r="N227" s="4">
        <f t="shared" si="47"/>
        <v>0</v>
      </c>
      <c r="P227" s="4">
        <f t="shared" si="48"/>
        <v>0</v>
      </c>
      <c r="R227" s="4">
        <f t="shared" si="49"/>
        <v>0</v>
      </c>
      <c r="S227" s="4">
        <v>38600</v>
      </c>
      <c r="T227" s="4">
        <v>960</v>
      </c>
      <c r="U227" s="33">
        <f t="shared" si="41"/>
        <v>40.208333333333336</v>
      </c>
      <c r="BA227" s="4">
        <v>32.25</v>
      </c>
      <c r="BC227" s="4" t="s">
        <v>1424</v>
      </c>
      <c r="BD227" s="4" t="s">
        <v>2188</v>
      </c>
      <c r="BE227" s="4" t="s">
        <v>240</v>
      </c>
      <c r="BL227" s="4" t="s">
        <v>1424</v>
      </c>
      <c r="BM227" s="4" t="s">
        <v>2205</v>
      </c>
    </row>
    <row r="228" spans="4:65">
      <c r="D228" s="17" t="str">
        <f t="shared" si="50"/>
        <v>EinzelfuttermittelKatzeInnereien, TNPs, Schlachtabfälle und Tiermehle</v>
      </c>
      <c r="E228" s="4" t="s">
        <v>240</v>
      </c>
      <c r="F228" s="19" t="s">
        <v>90</v>
      </c>
      <c r="G228" s="4" t="s">
        <v>2852</v>
      </c>
      <c r="L228" s="4" t="s">
        <v>2874</v>
      </c>
      <c r="M228" s="4">
        <f t="shared" si="46"/>
        <v>23</v>
      </c>
      <c r="N228" s="4">
        <f t="shared" si="47"/>
        <v>60</v>
      </c>
      <c r="P228" s="4">
        <f t="shared" si="48"/>
        <v>14</v>
      </c>
      <c r="R228" s="4">
        <f t="shared" si="49"/>
        <v>0</v>
      </c>
      <c r="S228" s="4">
        <v>14140</v>
      </c>
      <c r="T228" s="4">
        <v>7020</v>
      </c>
      <c r="U228" s="33">
        <f t="shared" si="41"/>
        <v>2.0142450142450143</v>
      </c>
      <c r="BA228" s="4">
        <v>29.8</v>
      </c>
      <c r="BC228" s="4" t="s">
        <v>2206</v>
      </c>
      <c r="BD228" s="4" t="s">
        <v>2188</v>
      </c>
      <c r="BE228" s="4" t="s">
        <v>240</v>
      </c>
      <c r="BF228" s="4">
        <v>23</v>
      </c>
      <c r="BG228" s="4">
        <v>60</v>
      </c>
      <c r="BI228" s="4">
        <v>14</v>
      </c>
      <c r="BL228" s="4" t="s">
        <v>2208</v>
      </c>
      <c r="BM228" s="4" t="s">
        <v>2207</v>
      </c>
    </row>
    <row r="229" spans="4:65">
      <c r="D229" s="17" t="str">
        <f t="shared" si="50"/>
        <v>EinzelfuttermittelKatzeInnereien, TNPs, Schlachtabfälle und Tiermehle</v>
      </c>
      <c r="E229" s="4" t="s">
        <v>240</v>
      </c>
      <c r="F229" s="19" t="s">
        <v>90</v>
      </c>
      <c r="G229" s="4" t="s">
        <v>2852</v>
      </c>
      <c r="L229" s="4" t="s">
        <v>2874</v>
      </c>
      <c r="M229" s="4">
        <f t="shared" si="46"/>
        <v>53</v>
      </c>
      <c r="N229" s="4">
        <f t="shared" si="47"/>
        <v>27.7</v>
      </c>
      <c r="P229" s="4">
        <f t="shared" si="48"/>
        <v>12.3</v>
      </c>
      <c r="R229" s="4">
        <f t="shared" si="49"/>
        <v>0</v>
      </c>
      <c r="S229" s="4">
        <v>17820</v>
      </c>
      <c r="T229" s="4">
        <v>8140</v>
      </c>
      <c r="U229" s="33">
        <f t="shared" si="41"/>
        <v>2.189189189189189</v>
      </c>
      <c r="V229" s="4">
        <v>260</v>
      </c>
      <c r="W229" s="4">
        <v>110</v>
      </c>
      <c r="X229" s="4">
        <v>520</v>
      </c>
      <c r="BA229" s="4">
        <v>29.8</v>
      </c>
      <c r="BC229" s="4" t="s">
        <v>2209</v>
      </c>
      <c r="BD229" s="4" t="s">
        <v>2188</v>
      </c>
      <c r="BE229" s="4" t="s">
        <v>240</v>
      </c>
      <c r="BF229" s="4">
        <v>53</v>
      </c>
      <c r="BG229" s="4">
        <v>27.7</v>
      </c>
      <c r="BI229" s="4">
        <v>12.3</v>
      </c>
      <c r="BL229" s="4" t="s">
        <v>2210</v>
      </c>
      <c r="BM229" s="4" t="s">
        <v>2211</v>
      </c>
    </row>
    <row r="230" spans="4:65">
      <c r="D230" s="17" t="str">
        <f t="shared" si="50"/>
        <v>EinzelfuttermittelKatzeInnereien, TNPs, Schlachtabfälle und Tiermehle</v>
      </c>
      <c r="E230" s="4" t="s">
        <v>240</v>
      </c>
      <c r="F230" s="19" t="s">
        <v>90</v>
      </c>
      <c r="G230" s="4" t="s">
        <v>2852</v>
      </c>
      <c r="L230" s="4" t="s">
        <v>2874</v>
      </c>
      <c r="M230" s="4">
        <f t="shared" si="46"/>
        <v>51.3</v>
      </c>
      <c r="N230" s="4">
        <f t="shared" si="47"/>
        <v>31.5</v>
      </c>
      <c r="P230" s="4">
        <f t="shared" si="48"/>
        <v>9.8000000000000007</v>
      </c>
      <c r="R230" s="4">
        <f t="shared" si="49"/>
        <v>0</v>
      </c>
      <c r="S230" s="4">
        <v>17480</v>
      </c>
      <c r="T230" s="4">
        <v>7900</v>
      </c>
      <c r="U230" s="33">
        <f t="shared" si="41"/>
        <v>2.2126582278481011</v>
      </c>
      <c r="V230" s="4">
        <v>160</v>
      </c>
      <c r="W230" s="4">
        <v>140</v>
      </c>
      <c r="X230" s="4">
        <v>500</v>
      </c>
      <c r="BA230" s="4">
        <v>23.95</v>
      </c>
      <c r="BC230" s="4" t="s">
        <v>2212</v>
      </c>
      <c r="BD230" s="4" t="s">
        <v>2188</v>
      </c>
      <c r="BE230" s="4" t="s">
        <v>240</v>
      </c>
      <c r="BF230" s="4">
        <v>51.3</v>
      </c>
      <c r="BG230" s="4">
        <v>31.5</v>
      </c>
      <c r="BI230" s="4">
        <v>9.8000000000000007</v>
      </c>
      <c r="BL230" s="4" t="s">
        <v>2215</v>
      </c>
      <c r="BM230" s="4" t="s">
        <v>2214</v>
      </c>
    </row>
    <row r="231" spans="4:65">
      <c r="D231" s="17" t="str">
        <f t="shared" si="50"/>
        <v>EinzelfuttermittelKatzeInnereien, TNPs, Schlachtabfälle und Tiermehle</v>
      </c>
      <c r="E231" s="4" t="s">
        <v>240</v>
      </c>
      <c r="F231" s="19" t="s">
        <v>90</v>
      </c>
      <c r="G231" s="4" t="s">
        <v>2852</v>
      </c>
      <c r="L231" s="4" t="s">
        <v>2874</v>
      </c>
      <c r="M231" s="4">
        <f t="shared" si="46"/>
        <v>46.7</v>
      </c>
      <c r="N231" s="4">
        <f t="shared" si="47"/>
        <v>38.6</v>
      </c>
      <c r="P231" s="4">
        <f t="shared" si="48"/>
        <v>11.7</v>
      </c>
      <c r="R231" s="4">
        <f t="shared" si="49"/>
        <v>0</v>
      </c>
      <c r="S231" s="4">
        <v>15320</v>
      </c>
      <c r="T231" s="4">
        <v>7180</v>
      </c>
      <c r="U231" s="33">
        <f t="shared" si="41"/>
        <v>2.1337047353760448</v>
      </c>
      <c r="V231" s="4">
        <v>280</v>
      </c>
      <c r="W231" s="4">
        <v>90</v>
      </c>
      <c r="X231" s="4">
        <v>390</v>
      </c>
      <c r="BA231" s="4">
        <v>27.8</v>
      </c>
      <c r="BC231" s="4" t="s">
        <v>2213</v>
      </c>
      <c r="BD231" s="4" t="s">
        <v>2188</v>
      </c>
      <c r="BE231" s="4" t="s">
        <v>240</v>
      </c>
      <c r="BF231" s="4">
        <v>46.7</v>
      </c>
      <c r="BG231" s="4">
        <v>38.6</v>
      </c>
      <c r="BI231" s="4">
        <v>11.7</v>
      </c>
      <c r="BL231" s="4" t="s">
        <v>2216</v>
      </c>
      <c r="BM231" s="4" t="s">
        <v>2217</v>
      </c>
    </row>
    <row r="232" spans="4:65">
      <c r="D232" s="17" t="str">
        <f t="shared" si="50"/>
        <v>EinzelfuttermittelKatzeInnereien, TNPs, Schlachtabfälle und Tiermehle</v>
      </c>
      <c r="E232" s="4" t="s">
        <v>240</v>
      </c>
      <c r="F232" s="19" t="s">
        <v>90</v>
      </c>
      <c r="G232" s="4" t="s">
        <v>2852</v>
      </c>
      <c r="L232" s="4" t="s">
        <v>2874</v>
      </c>
      <c r="M232" s="4">
        <f t="shared" si="46"/>
        <v>44.8</v>
      </c>
      <c r="N232" s="4">
        <f t="shared" si="47"/>
        <v>38.4</v>
      </c>
      <c r="P232" s="4">
        <f t="shared" si="48"/>
        <v>10.5</v>
      </c>
      <c r="R232" s="4">
        <f t="shared" si="49"/>
        <v>0</v>
      </c>
      <c r="S232" s="4">
        <v>14950</v>
      </c>
      <c r="T232" s="4">
        <v>7230</v>
      </c>
      <c r="U232" s="33">
        <f t="shared" si="41"/>
        <v>2.0677731673582298</v>
      </c>
      <c r="V232" s="4">
        <v>270</v>
      </c>
      <c r="W232" s="4">
        <v>230</v>
      </c>
      <c r="X232" s="4">
        <v>460</v>
      </c>
      <c r="BA232" s="4">
        <v>29.8</v>
      </c>
      <c r="BC232" s="4" t="s">
        <v>2218</v>
      </c>
      <c r="BD232" s="4" t="s">
        <v>2188</v>
      </c>
      <c r="BE232" s="4" t="s">
        <v>240</v>
      </c>
      <c r="BF232" s="4">
        <v>44.8</v>
      </c>
      <c r="BG232" s="4">
        <v>38.4</v>
      </c>
      <c r="BI232" s="4">
        <v>10.5</v>
      </c>
      <c r="BL232" s="4" t="s">
        <v>2219</v>
      </c>
      <c r="BM232" s="4" t="s">
        <v>2220</v>
      </c>
    </row>
    <row r="233" spans="4:65">
      <c r="D233" s="17" t="str">
        <f t="shared" si="50"/>
        <v>EinzelfuttermittelKatzeGetreide, Samen, Leguminosen und Kartoffel-Produkte</v>
      </c>
      <c r="E233" s="4" t="s">
        <v>240</v>
      </c>
      <c r="F233" s="19" t="s">
        <v>90</v>
      </c>
      <c r="G233" s="4" t="s">
        <v>2857</v>
      </c>
      <c r="L233" s="4" t="s">
        <v>2866</v>
      </c>
      <c r="M233" s="4">
        <f t="shared" si="46"/>
        <v>0</v>
      </c>
      <c r="N233" s="4">
        <f t="shared" si="47"/>
        <v>0</v>
      </c>
      <c r="P233" s="4">
        <f t="shared" si="48"/>
        <v>0</v>
      </c>
      <c r="R233" s="4">
        <f t="shared" si="49"/>
        <v>0</v>
      </c>
      <c r="U233" s="33" t="str">
        <f t="shared" si="41"/>
        <v/>
      </c>
      <c r="BA233" s="4">
        <v>47.5</v>
      </c>
      <c r="BB233" s="4">
        <v>0.8</v>
      </c>
      <c r="BC233" s="4" t="s">
        <v>323</v>
      </c>
      <c r="BD233" s="4" t="s">
        <v>2188</v>
      </c>
      <c r="BE233" s="4" t="s">
        <v>240</v>
      </c>
      <c r="BL233" s="4" t="s">
        <v>1066</v>
      </c>
      <c r="BM233" s="4" t="s">
        <v>2223</v>
      </c>
    </row>
    <row r="234" spans="4:65">
      <c r="D234" s="17" t="str">
        <f t="shared" si="50"/>
        <v>EinzelfuttermittelKatzeInnereien, TNPs, Schlachtabfälle und Tiermehle</v>
      </c>
      <c r="E234" s="4" t="s">
        <v>240</v>
      </c>
      <c r="F234" s="19" t="s">
        <v>90</v>
      </c>
      <c r="G234" s="4" t="s">
        <v>2852</v>
      </c>
      <c r="L234" s="4" t="s">
        <v>2853</v>
      </c>
      <c r="M234" s="4">
        <f t="shared" si="46"/>
        <v>2.1</v>
      </c>
      <c r="N234" s="4">
        <f t="shared" si="47"/>
        <v>90</v>
      </c>
      <c r="P234" s="4">
        <f t="shared" si="48"/>
        <v>2.6</v>
      </c>
      <c r="R234" s="4">
        <f t="shared" si="49"/>
        <v>0.7</v>
      </c>
      <c r="S234" s="4">
        <v>80</v>
      </c>
      <c r="T234" s="4">
        <v>60</v>
      </c>
      <c r="U234" s="33">
        <f t="shared" si="41"/>
        <v>1.3333333333333333</v>
      </c>
      <c r="V234" s="4">
        <v>30</v>
      </c>
      <c r="W234" s="4">
        <v>170</v>
      </c>
      <c r="X234" s="4">
        <v>250</v>
      </c>
      <c r="Z234" s="4">
        <v>217</v>
      </c>
      <c r="AB234" s="4">
        <v>3.38</v>
      </c>
      <c r="BA234" s="4">
        <v>27.8</v>
      </c>
      <c r="BB234" s="4">
        <v>1.2</v>
      </c>
      <c r="BC234" s="4" t="s">
        <v>2224</v>
      </c>
      <c r="BD234" s="4" t="s">
        <v>2188</v>
      </c>
      <c r="BE234" s="4" t="s">
        <v>240</v>
      </c>
      <c r="BF234" s="4">
        <v>2.1</v>
      </c>
      <c r="BG234" s="4">
        <v>90</v>
      </c>
      <c r="BI234" s="4">
        <v>2.6</v>
      </c>
      <c r="BK234" s="4">
        <v>0.7</v>
      </c>
      <c r="BL234" s="4" t="s">
        <v>2226</v>
      </c>
      <c r="BM234" s="4" t="s">
        <v>2225</v>
      </c>
    </row>
    <row r="235" spans="4:65">
      <c r="D235" s="17" t="str">
        <f t="shared" si="50"/>
        <v>EinzelfuttermittelKatzeFleisch-, Fisch- und Algenprodukte</v>
      </c>
      <c r="E235" s="4" t="s">
        <v>240</v>
      </c>
      <c r="F235" s="19" t="s">
        <v>90</v>
      </c>
      <c r="G235" s="4" t="s">
        <v>2854</v>
      </c>
      <c r="L235" s="4" t="s">
        <v>2864</v>
      </c>
      <c r="M235" s="4">
        <f t="shared" si="46"/>
        <v>6.91</v>
      </c>
      <c r="N235" s="4">
        <f t="shared" si="47"/>
        <v>65.099999999999994</v>
      </c>
      <c r="P235" s="4">
        <f t="shared" si="48"/>
        <v>9.6199999999999992</v>
      </c>
      <c r="R235" s="4">
        <f t="shared" si="49"/>
        <v>0</v>
      </c>
      <c r="U235" s="33" t="str">
        <f t="shared" si="41"/>
        <v/>
      </c>
      <c r="BA235" s="4">
        <v>102</v>
      </c>
      <c r="BB235" s="4">
        <v>0.5</v>
      </c>
      <c r="BC235" s="4" t="s">
        <v>1228</v>
      </c>
      <c r="BD235" s="4" t="s">
        <v>2188</v>
      </c>
      <c r="BE235" s="4" t="s">
        <v>240</v>
      </c>
      <c r="BF235" s="4">
        <v>6.91</v>
      </c>
      <c r="BG235" s="4">
        <v>65.099999999999994</v>
      </c>
      <c r="BI235" s="4">
        <v>9.6199999999999992</v>
      </c>
      <c r="BL235" s="4" t="s">
        <v>2231</v>
      </c>
      <c r="BM235" s="4" t="s">
        <v>2232</v>
      </c>
    </row>
    <row r="236" spans="4:65">
      <c r="D236" s="17" t="str">
        <f t="shared" si="50"/>
        <v>EinzelfuttermittelKatzeGemüse, Obst und Faserstoffe</v>
      </c>
      <c r="E236" s="4" t="s">
        <v>240</v>
      </c>
      <c r="F236" s="19" t="s">
        <v>90</v>
      </c>
      <c r="G236" s="4" t="s">
        <v>2855</v>
      </c>
      <c r="L236" s="27" t="s">
        <v>334</v>
      </c>
      <c r="M236" s="4">
        <f t="shared" si="46"/>
        <v>0</v>
      </c>
      <c r="N236" s="4">
        <f t="shared" si="47"/>
        <v>2.37</v>
      </c>
      <c r="P236" s="4">
        <f t="shared" si="48"/>
        <v>0.82</v>
      </c>
      <c r="R236" s="4">
        <f t="shared" si="49"/>
        <v>10.75</v>
      </c>
      <c r="U236" s="33" t="str">
        <f t="shared" si="41"/>
        <v/>
      </c>
      <c r="BA236" s="4">
        <v>34</v>
      </c>
      <c r="BC236" s="4" t="s">
        <v>2233</v>
      </c>
      <c r="BD236" s="4" t="s">
        <v>2188</v>
      </c>
      <c r="BE236" s="4" t="s">
        <v>240</v>
      </c>
      <c r="BG236" s="4">
        <v>2.37</v>
      </c>
      <c r="BI236" s="4">
        <v>0.82</v>
      </c>
      <c r="BK236" s="4">
        <v>10.75</v>
      </c>
      <c r="BL236" s="4" t="s">
        <v>2234</v>
      </c>
      <c r="BM236" s="4" t="s">
        <v>2235</v>
      </c>
    </row>
    <row r="237" spans="4:65">
      <c r="D237" s="17" t="str">
        <f t="shared" si="50"/>
        <v>EinzelfuttermittelKatzeGemüse, Obst und Faserstoffe</v>
      </c>
      <c r="E237" s="4" t="s">
        <v>240</v>
      </c>
      <c r="F237" s="19" t="s">
        <v>90</v>
      </c>
      <c r="G237" s="4" t="s">
        <v>2855</v>
      </c>
      <c r="L237" s="4" t="s">
        <v>2895</v>
      </c>
      <c r="M237" s="4">
        <f t="shared" si="46"/>
        <v>0</v>
      </c>
      <c r="N237" s="4">
        <f t="shared" si="47"/>
        <v>0</v>
      </c>
      <c r="P237" s="4">
        <f t="shared" si="48"/>
        <v>0</v>
      </c>
      <c r="R237" s="4">
        <f t="shared" si="49"/>
        <v>0</v>
      </c>
      <c r="U237" s="33" t="str">
        <f t="shared" si="41"/>
        <v/>
      </c>
      <c r="BA237" s="4">
        <v>17.38</v>
      </c>
      <c r="BC237" s="4" t="s">
        <v>2239</v>
      </c>
      <c r="BD237" s="4" t="s">
        <v>2188</v>
      </c>
      <c r="BE237" s="4" t="s">
        <v>240</v>
      </c>
      <c r="BL237" s="4" t="s">
        <v>2239</v>
      </c>
      <c r="BM237" s="4" t="s">
        <v>2240</v>
      </c>
    </row>
    <row r="238" spans="4:65">
      <c r="D238" s="17" t="str">
        <f t="shared" si="50"/>
        <v>EinzelfuttermittelKatzeMineralstoffe</v>
      </c>
      <c r="E238" s="4" t="s">
        <v>240</v>
      </c>
      <c r="F238" s="19" t="s">
        <v>90</v>
      </c>
      <c r="G238" s="4" t="s">
        <v>437</v>
      </c>
      <c r="L238" s="4" t="s">
        <v>2870</v>
      </c>
      <c r="M238" s="4">
        <f t="shared" si="46"/>
        <v>0</v>
      </c>
      <c r="N238" s="4">
        <f t="shared" si="47"/>
        <v>0</v>
      </c>
      <c r="P238" s="4">
        <f t="shared" si="48"/>
        <v>0</v>
      </c>
      <c r="R238" s="4">
        <f t="shared" si="49"/>
        <v>0</v>
      </c>
      <c r="U238" s="33" t="str">
        <f t="shared" si="41"/>
        <v/>
      </c>
      <c r="BA238" s="4">
        <v>74.75</v>
      </c>
      <c r="BC238" s="4" t="s">
        <v>1073</v>
      </c>
      <c r="BD238" s="4" t="s">
        <v>2188</v>
      </c>
      <c r="BE238" s="4" t="s">
        <v>240</v>
      </c>
      <c r="BL238" s="4" t="s">
        <v>2250</v>
      </c>
      <c r="BM238" s="4" t="s">
        <v>2249</v>
      </c>
    </row>
    <row r="239" spans="4:65">
      <c r="D239" s="17" t="str">
        <f t="shared" si="50"/>
        <v>EinzelfuttermittelKatzeInnereien, TNPs, Schlachtabfälle und Tiermehle</v>
      </c>
      <c r="E239" s="4" t="s">
        <v>240</v>
      </c>
      <c r="F239" s="19" t="s">
        <v>90</v>
      </c>
      <c r="G239" s="4" t="s">
        <v>2852</v>
      </c>
      <c r="L239" s="4" t="s">
        <v>2853</v>
      </c>
      <c r="M239" s="4">
        <f t="shared" si="46"/>
        <v>0</v>
      </c>
      <c r="N239" s="4">
        <f t="shared" si="47"/>
        <v>92</v>
      </c>
      <c r="P239" s="4">
        <f t="shared" si="48"/>
        <v>0</v>
      </c>
      <c r="R239" s="4">
        <f t="shared" si="49"/>
        <v>0</v>
      </c>
      <c r="U239" s="33" t="str">
        <f t="shared" si="41"/>
        <v/>
      </c>
      <c r="Z239" s="4">
        <v>289</v>
      </c>
      <c r="BA239" s="4">
        <v>27.8</v>
      </c>
      <c r="BB239" s="4">
        <v>1.2</v>
      </c>
      <c r="BC239" s="4" t="s">
        <v>2251</v>
      </c>
      <c r="BD239" s="4" t="s">
        <v>2188</v>
      </c>
      <c r="BE239" s="4" t="s">
        <v>240</v>
      </c>
      <c r="BG239" s="4">
        <v>92</v>
      </c>
      <c r="BL239" s="4" t="s">
        <v>2251</v>
      </c>
      <c r="BM239" s="4" t="s">
        <v>2252</v>
      </c>
    </row>
    <row r="240" spans="4:65">
      <c r="D240" s="17" t="str">
        <f t="shared" si="50"/>
        <v>EinzelfuttermittelKatzeFleisch-, Fisch- und Algenprodukte</v>
      </c>
      <c r="E240" s="4" t="s">
        <v>240</v>
      </c>
      <c r="F240" s="19" t="s">
        <v>90</v>
      </c>
      <c r="G240" s="4" t="s">
        <v>2854</v>
      </c>
      <c r="L240" s="4" t="s">
        <v>220</v>
      </c>
      <c r="M240" s="4">
        <f t="shared" si="46"/>
        <v>25</v>
      </c>
      <c r="N240" s="4">
        <f t="shared" si="47"/>
        <v>7.2</v>
      </c>
      <c r="P240" s="4">
        <f t="shared" si="48"/>
        <v>2.8</v>
      </c>
      <c r="R240" s="4">
        <f t="shared" si="49"/>
        <v>41.8</v>
      </c>
      <c r="U240" s="33" t="str">
        <f t="shared" si="41"/>
        <v/>
      </c>
      <c r="AD240" s="4">
        <v>60000</v>
      </c>
      <c r="BA240" s="4">
        <v>26</v>
      </c>
      <c r="BB240" s="4">
        <v>0.88</v>
      </c>
      <c r="BC240" s="4" t="s">
        <v>220</v>
      </c>
      <c r="BD240" s="4" t="s">
        <v>2188</v>
      </c>
      <c r="BE240" s="4" t="s">
        <v>240</v>
      </c>
      <c r="BF240" s="4">
        <v>25</v>
      </c>
      <c r="BG240" s="4">
        <v>7.2</v>
      </c>
      <c r="BI240" s="4">
        <v>2.8</v>
      </c>
      <c r="BK240" s="4">
        <v>41.8</v>
      </c>
      <c r="BL240" s="4" t="s">
        <v>2171</v>
      </c>
      <c r="BM240" s="4" t="s">
        <v>2256</v>
      </c>
    </row>
    <row r="241" spans="4:65">
      <c r="D241" s="17" t="str">
        <f t="shared" si="50"/>
        <v>EinzelfuttermittelKatzeFleisch-, Fisch- und Algenprodukte</v>
      </c>
      <c r="E241" s="4" t="s">
        <v>240</v>
      </c>
      <c r="F241" s="19" t="s">
        <v>90</v>
      </c>
      <c r="G241" s="4" t="s">
        <v>2854</v>
      </c>
      <c r="L241" s="4" t="s">
        <v>2859</v>
      </c>
      <c r="M241" s="4">
        <f t="shared" si="46"/>
        <v>7.42</v>
      </c>
      <c r="N241" s="4">
        <f t="shared" si="47"/>
        <v>66.2</v>
      </c>
      <c r="P241" s="4">
        <f t="shared" si="48"/>
        <v>5.91</v>
      </c>
      <c r="R241" s="4">
        <f t="shared" si="49"/>
        <v>0</v>
      </c>
      <c r="U241" s="33" t="str">
        <f t="shared" si="41"/>
        <v/>
      </c>
      <c r="BA241" s="4">
        <v>74</v>
      </c>
      <c r="BC241" s="4" t="s">
        <v>2257</v>
      </c>
      <c r="BD241" s="4" t="s">
        <v>2188</v>
      </c>
      <c r="BE241" s="4" t="s">
        <v>240</v>
      </c>
      <c r="BF241" s="4">
        <v>7.42</v>
      </c>
      <c r="BG241" s="4">
        <v>66.2</v>
      </c>
      <c r="BI241" s="4">
        <v>5.91</v>
      </c>
      <c r="BL241" s="4" t="s">
        <v>2257</v>
      </c>
      <c r="BM241" s="4" t="s">
        <v>2258</v>
      </c>
    </row>
    <row r="242" spans="4:65">
      <c r="D242" s="17" t="str">
        <f t="shared" si="50"/>
        <v>EinzelfuttermittelKatzeInnereien, TNPs, Schlachtabfälle und Tiermehle</v>
      </c>
      <c r="E242" s="4" t="s">
        <v>240</v>
      </c>
      <c r="F242" s="19" t="s">
        <v>90</v>
      </c>
      <c r="G242" s="32" t="s">
        <v>2852</v>
      </c>
      <c r="L242" s="4" t="s">
        <v>2894</v>
      </c>
      <c r="M242" s="4">
        <f t="shared" si="46"/>
        <v>3.7</v>
      </c>
      <c r="N242" s="4">
        <f t="shared" si="47"/>
        <v>79</v>
      </c>
      <c r="P242" s="4">
        <f t="shared" si="48"/>
        <v>1.6</v>
      </c>
      <c r="R242" s="4">
        <f t="shared" si="49"/>
        <v>2.5</v>
      </c>
      <c r="U242" s="33" t="str">
        <f t="shared" si="41"/>
        <v/>
      </c>
      <c r="BA242" s="4">
        <v>92.5</v>
      </c>
      <c r="BC242" s="4" t="s">
        <v>794</v>
      </c>
      <c r="BD242" s="4" t="s">
        <v>2188</v>
      </c>
      <c r="BE242" s="4" t="s">
        <v>240</v>
      </c>
      <c r="BF242" s="4">
        <v>3.7</v>
      </c>
      <c r="BG242" s="4">
        <v>79</v>
      </c>
      <c r="BI242" s="4">
        <v>1.6</v>
      </c>
      <c r="BK242" s="4">
        <v>2.5</v>
      </c>
      <c r="BL242" s="4" t="s">
        <v>247</v>
      </c>
      <c r="BM242" s="4" t="s">
        <v>2259</v>
      </c>
    </row>
    <row r="243" spans="4:65">
      <c r="D243" s="17" t="str">
        <f t="shared" si="50"/>
        <v>EinzelfuttermittelKatzeGemüse, Obst und Faserstoffe</v>
      </c>
      <c r="E243" s="4" t="s">
        <v>240</v>
      </c>
      <c r="F243" s="19" t="s">
        <v>90</v>
      </c>
      <c r="G243" s="4" t="s">
        <v>2855</v>
      </c>
      <c r="L243" s="4" t="s">
        <v>2868</v>
      </c>
      <c r="M243" s="4">
        <f t="shared" si="46"/>
        <v>0</v>
      </c>
      <c r="N243" s="4">
        <f t="shared" si="47"/>
        <v>0</v>
      </c>
      <c r="P243" s="4">
        <f t="shared" si="48"/>
        <v>0</v>
      </c>
      <c r="R243" s="4">
        <f t="shared" si="49"/>
        <v>0</v>
      </c>
      <c r="U243" s="33" t="str">
        <f t="shared" si="41"/>
        <v/>
      </c>
      <c r="BA243" s="4">
        <v>119.75</v>
      </c>
      <c r="BC243" s="4" t="s">
        <v>2261</v>
      </c>
      <c r="BD243" s="4" t="s">
        <v>2188</v>
      </c>
      <c r="BE243" s="4" t="s">
        <v>240</v>
      </c>
      <c r="BL243" s="4" t="s">
        <v>2261</v>
      </c>
      <c r="BM243" s="4" t="s">
        <v>2262</v>
      </c>
    </row>
    <row r="244" spans="4:65">
      <c r="D244" s="17" t="str">
        <f t="shared" si="50"/>
        <v>EinzelfuttermittelKatzeMineralstoffe</v>
      </c>
      <c r="E244" s="4" t="s">
        <v>240</v>
      </c>
      <c r="F244" s="19" t="s">
        <v>90</v>
      </c>
      <c r="G244" s="32" t="s">
        <v>437</v>
      </c>
      <c r="L244" s="27" t="s">
        <v>3271</v>
      </c>
      <c r="M244" s="4">
        <f t="shared" si="46"/>
        <v>0</v>
      </c>
      <c r="N244" s="4">
        <f t="shared" si="47"/>
        <v>0</v>
      </c>
      <c r="P244" s="4">
        <f t="shared" si="48"/>
        <v>0</v>
      </c>
      <c r="R244" s="4">
        <f t="shared" si="49"/>
        <v>0</v>
      </c>
      <c r="U244" s="33" t="str">
        <f t="shared" si="41"/>
        <v/>
      </c>
      <c r="BA244" s="4">
        <v>30</v>
      </c>
      <c r="BB244" s="4">
        <v>0.8</v>
      </c>
      <c r="BC244" s="4" t="s">
        <v>2263</v>
      </c>
      <c r="BD244" s="4" t="s">
        <v>2188</v>
      </c>
      <c r="BE244" s="4" t="s">
        <v>240</v>
      </c>
      <c r="BL244" s="4" t="s">
        <v>2264</v>
      </c>
      <c r="BM244" s="4" t="s">
        <v>2265</v>
      </c>
    </row>
    <row r="245" spans="4:65">
      <c r="D245" s="17" t="str">
        <f t="shared" si="50"/>
        <v>EinzelfuttermittelKatzeMineralstoffe</v>
      </c>
      <c r="E245" s="4" t="s">
        <v>240</v>
      </c>
      <c r="F245" s="19" t="s">
        <v>90</v>
      </c>
      <c r="G245" s="32" t="s">
        <v>437</v>
      </c>
      <c r="L245" s="27" t="s">
        <v>2274</v>
      </c>
      <c r="M245" s="4">
        <f t="shared" si="46"/>
        <v>0</v>
      </c>
      <c r="N245" s="4">
        <f t="shared" si="47"/>
        <v>0</v>
      </c>
      <c r="P245" s="4">
        <f t="shared" si="48"/>
        <v>0</v>
      </c>
      <c r="R245" s="4">
        <f t="shared" si="49"/>
        <v>0</v>
      </c>
      <c r="U245" s="33" t="str">
        <f t="shared" si="41"/>
        <v/>
      </c>
      <c r="BA245" s="4">
        <v>25</v>
      </c>
      <c r="BC245" s="4" t="s">
        <v>2271</v>
      </c>
      <c r="BD245" s="4" t="s">
        <v>2268</v>
      </c>
      <c r="BE245" s="4" t="s">
        <v>240</v>
      </c>
      <c r="BL245" s="4" t="s">
        <v>2272</v>
      </c>
      <c r="BM245" s="4" t="s">
        <v>2273</v>
      </c>
    </row>
    <row r="246" spans="4:65">
      <c r="D246" s="17" t="str">
        <f t="shared" si="50"/>
        <v>EinzelfuttermittelKatzeGemüse, Obst und Faserstoffe</v>
      </c>
      <c r="E246" s="4" t="s">
        <v>240</v>
      </c>
      <c r="F246" s="19" t="s">
        <v>90</v>
      </c>
      <c r="G246" s="32" t="s">
        <v>2855</v>
      </c>
      <c r="L246" s="4" t="s">
        <v>2893</v>
      </c>
      <c r="M246" s="4">
        <f t="shared" si="46"/>
        <v>0</v>
      </c>
      <c r="N246" s="4">
        <f t="shared" si="47"/>
        <v>0</v>
      </c>
      <c r="P246" s="4">
        <f t="shared" si="48"/>
        <v>0</v>
      </c>
      <c r="R246" s="4">
        <f t="shared" si="49"/>
        <v>5.6</v>
      </c>
      <c r="U246" s="33" t="str">
        <f t="shared" si="41"/>
        <v/>
      </c>
      <c r="BA246" s="4">
        <v>65.44</v>
      </c>
      <c r="BB246" s="4">
        <v>4</v>
      </c>
      <c r="BC246" s="4" t="s">
        <v>2278</v>
      </c>
      <c r="BD246" s="4" t="s">
        <v>2276</v>
      </c>
      <c r="BE246" s="4" t="s">
        <v>240</v>
      </c>
      <c r="BK246" s="4">
        <v>5.6</v>
      </c>
      <c r="BL246" s="4" t="s">
        <v>2280</v>
      </c>
      <c r="BM246" s="4" t="s">
        <v>2279</v>
      </c>
    </row>
    <row r="247" spans="4:65">
      <c r="D247" s="17" t="str">
        <f t="shared" si="50"/>
        <v>EinzelfuttermittelKatzeGemüse, Obst und Faserstoffe</v>
      </c>
      <c r="E247" s="4" t="s">
        <v>240</v>
      </c>
      <c r="F247" s="19" t="s">
        <v>90</v>
      </c>
      <c r="G247" s="4" t="s">
        <v>2855</v>
      </c>
      <c r="L247" s="4" t="s">
        <v>2868</v>
      </c>
      <c r="M247" s="4">
        <f t="shared" si="46"/>
        <v>0.3</v>
      </c>
      <c r="N247" s="4">
        <f t="shared" si="47"/>
        <v>2.9</v>
      </c>
      <c r="P247" s="4">
        <f t="shared" si="48"/>
        <v>0</v>
      </c>
      <c r="R247" s="4">
        <f t="shared" si="49"/>
        <v>47</v>
      </c>
      <c r="U247" s="33" t="str">
        <f t="shared" si="41"/>
        <v/>
      </c>
      <c r="BA247" s="4">
        <v>237.33</v>
      </c>
      <c r="BC247" s="4" t="s">
        <v>2260</v>
      </c>
      <c r="BD247" s="4" t="s">
        <v>2322</v>
      </c>
      <c r="BE247" s="4" t="s">
        <v>240</v>
      </c>
      <c r="BF247" s="4">
        <v>0.3</v>
      </c>
      <c r="BG247" s="4">
        <v>2.9</v>
      </c>
      <c r="BK247" s="4">
        <v>47</v>
      </c>
      <c r="BL247" s="4" t="s">
        <v>2335</v>
      </c>
      <c r="BM247" s="4" t="s">
        <v>2336</v>
      </c>
    </row>
    <row r="248" spans="4:65">
      <c r="D248" s="17" t="str">
        <f t="shared" si="50"/>
        <v>EinzelfuttermittelKatzeInnereien, TNPs, Schlachtabfälle und Tiermehle</v>
      </c>
      <c r="E248" s="4" t="s">
        <v>240</v>
      </c>
      <c r="F248" s="19" t="s">
        <v>90</v>
      </c>
      <c r="G248" s="4" t="s">
        <v>2852</v>
      </c>
      <c r="L248" s="4" t="s">
        <v>2853</v>
      </c>
      <c r="M248" s="4">
        <f t="shared" si="46"/>
        <v>0</v>
      </c>
      <c r="N248" s="4">
        <f t="shared" si="47"/>
        <v>92</v>
      </c>
      <c r="P248" s="4">
        <f t="shared" si="48"/>
        <v>0</v>
      </c>
      <c r="R248" s="4">
        <f t="shared" si="49"/>
        <v>0</v>
      </c>
      <c r="U248" s="33" t="str">
        <f t="shared" si="41"/>
        <v/>
      </c>
      <c r="Z248" s="4">
        <v>250</v>
      </c>
      <c r="BA248" s="4">
        <v>28.8</v>
      </c>
      <c r="BB248" s="4">
        <v>0.8</v>
      </c>
      <c r="BC248" s="4" t="s">
        <v>2347</v>
      </c>
      <c r="BD248" s="4" t="s">
        <v>2322</v>
      </c>
      <c r="BE248" s="4" t="s">
        <v>240</v>
      </c>
      <c r="BG248" s="4">
        <v>92</v>
      </c>
      <c r="BL248" s="4" t="s">
        <v>2348</v>
      </c>
      <c r="BM248" s="4" t="s">
        <v>2349</v>
      </c>
    </row>
    <row r="249" spans="4:65">
      <c r="D249" s="17" t="str">
        <f t="shared" si="50"/>
        <v>EinzelfuttermittelKatzeEi- und Milchprodukte</v>
      </c>
      <c r="E249" s="4" t="s">
        <v>240</v>
      </c>
      <c r="F249" s="19" t="s">
        <v>90</v>
      </c>
      <c r="G249" s="4" t="s">
        <v>2856</v>
      </c>
      <c r="L249" s="4" t="s">
        <v>2858</v>
      </c>
      <c r="M249" s="4">
        <f t="shared" si="46"/>
        <v>0</v>
      </c>
      <c r="N249" s="4">
        <f t="shared" si="47"/>
        <v>96</v>
      </c>
      <c r="P249" s="4">
        <f t="shared" si="48"/>
        <v>0</v>
      </c>
      <c r="R249" s="4">
        <f t="shared" si="49"/>
        <v>0</v>
      </c>
      <c r="S249" s="4">
        <v>37000</v>
      </c>
      <c r="T249" s="4">
        <v>100</v>
      </c>
      <c r="U249" s="33">
        <f t="shared" si="41"/>
        <v>370</v>
      </c>
      <c r="BA249" s="4">
        <v>28.84</v>
      </c>
      <c r="BC249" s="4" t="s">
        <v>476</v>
      </c>
      <c r="BD249" s="4" t="s">
        <v>2322</v>
      </c>
      <c r="BE249" s="4" t="s">
        <v>240</v>
      </c>
      <c r="BG249" s="4">
        <v>96</v>
      </c>
      <c r="BL249" s="4" t="s">
        <v>393</v>
      </c>
      <c r="BM249" s="4" t="s">
        <v>2350</v>
      </c>
    </row>
    <row r="250" spans="4:65">
      <c r="D250" s="17" t="str">
        <f t="shared" si="50"/>
        <v>EinzelfuttermittelKatzeGemüse, Obst und Faserstoffe</v>
      </c>
      <c r="E250" s="4" t="s">
        <v>240</v>
      </c>
      <c r="F250" s="19" t="s">
        <v>90</v>
      </c>
      <c r="G250" s="4" t="s">
        <v>2855</v>
      </c>
      <c r="L250" s="4" t="s">
        <v>2892</v>
      </c>
      <c r="M250" s="4">
        <f t="shared" ref="M250:M281" si="51">BF250</f>
        <v>2.5</v>
      </c>
      <c r="N250" s="4">
        <f t="shared" ref="N250:N281" si="52">BG250</f>
        <v>5</v>
      </c>
      <c r="P250" s="4">
        <f t="shared" ref="P250:P281" si="53">BI250</f>
        <v>0</v>
      </c>
      <c r="R250" s="4">
        <f t="shared" ref="R250:R281" si="54">BK250</f>
        <v>12</v>
      </c>
      <c r="U250" s="33" t="str">
        <f t="shared" si="41"/>
        <v/>
      </c>
      <c r="BA250" s="4">
        <v>52.13</v>
      </c>
      <c r="BB250" s="4">
        <v>3</v>
      </c>
      <c r="BC250" s="4" t="s">
        <v>2360</v>
      </c>
      <c r="BD250" s="4" t="s">
        <v>2322</v>
      </c>
      <c r="BE250" s="4" t="s">
        <v>240</v>
      </c>
      <c r="BF250" s="4">
        <v>2.5</v>
      </c>
      <c r="BG250" s="4">
        <v>5</v>
      </c>
      <c r="BK250" s="4">
        <v>12</v>
      </c>
      <c r="BL250" s="4" t="s">
        <v>2362</v>
      </c>
      <c r="BM250" s="4" t="s">
        <v>2361</v>
      </c>
    </row>
    <row r="251" spans="4:65">
      <c r="D251" s="17" t="str">
        <f t="shared" si="50"/>
        <v>EinzelfuttermittelKatzeGemüse, Obst und Faserstoffe</v>
      </c>
      <c r="E251" s="4" t="s">
        <v>240</v>
      </c>
      <c r="F251" s="19" t="s">
        <v>90</v>
      </c>
      <c r="G251" s="4" t="s">
        <v>2855</v>
      </c>
      <c r="L251" s="4" t="s">
        <v>2882</v>
      </c>
      <c r="M251" s="4">
        <f t="shared" si="51"/>
        <v>0</v>
      </c>
      <c r="N251" s="4">
        <f t="shared" si="52"/>
        <v>0</v>
      </c>
      <c r="P251" s="4">
        <f t="shared" si="53"/>
        <v>0</v>
      </c>
      <c r="R251" s="4">
        <f t="shared" si="54"/>
        <v>98.8</v>
      </c>
      <c r="U251" s="33" t="str">
        <f t="shared" si="41"/>
        <v/>
      </c>
      <c r="BA251" s="4">
        <v>32.450000000000003</v>
      </c>
      <c r="BB251" s="4">
        <v>3</v>
      </c>
      <c r="BC251" s="4" t="s">
        <v>2366</v>
      </c>
      <c r="BD251" s="4" t="s">
        <v>2322</v>
      </c>
      <c r="BE251" s="4" t="s">
        <v>240</v>
      </c>
      <c r="BK251" s="4">
        <v>98.8</v>
      </c>
      <c r="BL251" s="4" t="s">
        <v>445</v>
      </c>
      <c r="BM251" s="4" t="s">
        <v>2367</v>
      </c>
    </row>
    <row r="252" spans="4:65">
      <c r="D252" s="17" t="str">
        <f t="shared" si="50"/>
        <v>EinzelfuttermittelKatzeFleisch-, Fisch- und Algenprodukte</v>
      </c>
      <c r="E252" s="4" t="s">
        <v>240</v>
      </c>
      <c r="F252" s="19" t="s">
        <v>90</v>
      </c>
      <c r="G252" s="4" t="s">
        <v>2854</v>
      </c>
      <c r="L252" s="4" t="s">
        <v>220</v>
      </c>
      <c r="M252" s="4">
        <f t="shared" si="51"/>
        <v>18.7</v>
      </c>
      <c r="N252" s="4">
        <f t="shared" si="52"/>
        <v>6.1</v>
      </c>
      <c r="P252" s="4">
        <f t="shared" si="53"/>
        <v>2.9</v>
      </c>
      <c r="R252" s="4">
        <f t="shared" si="54"/>
        <v>3.7</v>
      </c>
      <c r="U252" s="33" t="str">
        <f t="shared" si="41"/>
        <v/>
      </c>
      <c r="AD252" s="4">
        <v>50000</v>
      </c>
      <c r="BA252" s="4">
        <v>28.5</v>
      </c>
      <c r="BB252" s="4">
        <v>0.17</v>
      </c>
      <c r="BC252" s="4" t="s">
        <v>220</v>
      </c>
      <c r="BD252" s="4" t="s">
        <v>2322</v>
      </c>
      <c r="BE252" s="4" t="s">
        <v>240</v>
      </c>
      <c r="BF252" s="4">
        <v>18.7</v>
      </c>
      <c r="BG252" s="4">
        <v>6.1</v>
      </c>
      <c r="BI252" s="4">
        <v>2.9</v>
      </c>
      <c r="BK252" s="4">
        <v>3.7</v>
      </c>
      <c r="BL252" s="4" t="s">
        <v>2369</v>
      </c>
      <c r="BM252" s="4" t="s">
        <v>2368</v>
      </c>
    </row>
    <row r="253" spans="4:65">
      <c r="D253" s="17" t="str">
        <f t="shared" si="50"/>
        <v>EinzelfuttermittelKatzeGemüse, Obst und Faserstoffe</v>
      </c>
      <c r="E253" s="4" t="s">
        <v>240</v>
      </c>
      <c r="F253" s="19" t="s">
        <v>90</v>
      </c>
      <c r="G253" s="4" t="s">
        <v>2855</v>
      </c>
      <c r="L253" s="4" t="s">
        <v>2891</v>
      </c>
      <c r="M253" s="4">
        <f t="shared" si="51"/>
        <v>0</v>
      </c>
      <c r="N253" s="4">
        <f t="shared" si="52"/>
        <v>0</v>
      </c>
      <c r="P253" s="4">
        <f t="shared" si="53"/>
        <v>0</v>
      </c>
      <c r="R253" s="4">
        <f t="shared" si="54"/>
        <v>11</v>
      </c>
      <c r="U253" s="33" t="str">
        <f t="shared" si="41"/>
        <v/>
      </c>
      <c r="BA253" s="4">
        <v>172.33</v>
      </c>
      <c r="BB253" s="4">
        <v>0.8</v>
      </c>
      <c r="BC253" s="4" t="s">
        <v>2373</v>
      </c>
      <c r="BD253" s="4" t="s">
        <v>2322</v>
      </c>
      <c r="BE253" s="4" t="s">
        <v>240</v>
      </c>
      <c r="BK253" s="4">
        <v>11</v>
      </c>
      <c r="BL253" s="4" t="s">
        <v>2374</v>
      </c>
      <c r="BM253" s="4" t="s">
        <v>2375</v>
      </c>
    </row>
    <row r="254" spans="4:65">
      <c r="D254" s="17" t="str">
        <f t="shared" ref="D254:D285" si="55">E254&amp;""&amp;F254&amp;""&amp;G254&amp;""&amp;H254</f>
        <v>EinzelfuttermittelKatzeMineralstoffe</v>
      </c>
      <c r="E254" s="4" t="s">
        <v>240</v>
      </c>
      <c r="F254" s="19" t="s">
        <v>90</v>
      </c>
      <c r="G254" s="4" t="s">
        <v>437</v>
      </c>
      <c r="L254" s="4" t="s">
        <v>2888</v>
      </c>
      <c r="M254" s="4">
        <f t="shared" si="51"/>
        <v>0</v>
      </c>
      <c r="N254" s="4">
        <f t="shared" si="52"/>
        <v>0</v>
      </c>
      <c r="P254" s="4">
        <f t="shared" si="53"/>
        <v>0</v>
      </c>
      <c r="R254" s="4">
        <f t="shared" si="54"/>
        <v>0</v>
      </c>
      <c r="U254" s="33" t="str">
        <f t="shared" si="41"/>
        <v/>
      </c>
      <c r="V254" s="4">
        <v>31000</v>
      </c>
      <c r="BA254" s="4">
        <v>154.08000000000001</v>
      </c>
      <c r="BB254" s="4">
        <v>0.17499999999999999</v>
      </c>
      <c r="BC254" s="4" t="s">
        <v>2380</v>
      </c>
      <c r="BD254" s="4" t="s">
        <v>2322</v>
      </c>
      <c r="BE254" s="4" t="s">
        <v>240</v>
      </c>
      <c r="BL254" s="4" t="s">
        <v>2382</v>
      </c>
      <c r="BM254" s="4" t="s">
        <v>2381</v>
      </c>
    </row>
    <row r="255" spans="4:65">
      <c r="D255" s="17" t="str">
        <f t="shared" si="55"/>
        <v>EinzelfuttermittelKatzeGemüse, Obst und Faserstoffe</v>
      </c>
      <c r="E255" s="4" t="s">
        <v>240</v>
      </c>
      <c r="F255" s="19" t="s">
        <v>90</v>
      </c>
      <c r="G255" s="4" t="s">
        <v>2855</v>
      </c>
      <c r="L255" s="4" t="s">
        <v>2889</v>
      </c>
      <c r="M255" s="4">
        <f t="shared" si="51"/>
        <v>7.3</v>
      </c>
      <c r="N255" s="4">
        <f t="shared" si="52"/>
        <v>8.9</v>
      </c>
      <c r="P255" s="4">
        <f t="shared" si="53"/>
        <v>1.5</v>
      </c>
      <c r="R255" s="4">
        <f t="shared" si="54"/>
        <v>8.1999999999999993</v>
      </c>
      <c r="U255" s="33" t="str">
        <f t="shared" si="41"/>
        <v/>
      </c>
      <c r="AB255" s="4">
        <v>1500</v>
      </c>
      <c r="BA255" s="4">
        <v>174.89</v>
      </c>
      <c r="BB255" s="4">
        <v>0.5</v>
      </c>
      <c r="BC255" s="4" t="s">
        <v>2383</v>
      </c>
      <c r="BD255" s="4" t="s">
        <v>2322</v>
      </c>
      <c r="BE255" s="4" t="s">
        <v>240</v>
      </c>
      <c r="BF255" s="4">
        <v>7.3</v>
      </c>
      <c r="BG255" s="4">
        <v>8.9</v>
      </c>
      <c r="BI255" s="4">
        <v>1.5</v>
      </c>
      <c r="BK255" s="4">
        <v>8.1999999999999993</v>
      </c>
      <c r="BL255" s="4" t="s">
        <v>2379</v>
      </c>
      <c r="BM255" s="4" t="s">
        <v>2384</v>
      </c>
    </row>
    <row r="256" spans="4:65">
      <c r="D256" s="17" t="str">
        <f t="shared" si="55"/>
        <v>EinzelfuttermittelKatzeMineralstoffe</v>
      </c>
      <c r="E256" s="4" t="s">
        <v>240</v>
      </c>
      <c r="F256" s="19" t="s">
        <v>90</v>
      </c>
      <c r="G256" s="4" t="s">
        <v>437</v>
      </c>
      <c r="L256" s="4" t="s">
        <v>1038</v>
      </c>
      <c r="M256" s="4">
        <f t="shared" si="51"/>
        <v>5</v>
      </c>
      <c r="N256" s="4">
        <f t="shared" si="52"/>
        <v>0</v>
      </c>
      <c r="P256" s="4">
        <f t="shared" si="53"/>
        <v>0</v>
      </c>
      <c r="R256" s="4">
        <f t="shared" si="54"/>
        <v>0</v>
      </c>
      <c r="S256" s="4">
        <v>38000</v>
      </c>
      <c r="T256" s="4">
        <v>1</v>
      </c>
      <c r="U256" s="33">
        <f t="shared" si="41"/>
        <v>38000</v>
      </c>
      <c r="BA256" s="4">
        <v>24.3</v>
      </c>
      <c r="BC256" s="4" t="s">
        <v>1038</v>
      </c>
      <c r="BD256" s="4" t="s">
        <v>2322</v>
      </c>
      <c r="BE256" s="4" t="s">
        <v>240</v>
      </c>
      <c r="BF256" s="4">
        <v>5</v>
      </c>
      <c r="BL256" s="4" t="s">
        <v>2388</v>
      </c>
      <c r="BM256" s="4" t="s">
        <v>2389</v>
      </c>
    </row>
    <row r="257" spans="4:67">
      <c r="D257" s="17" t="str">
        <f t="shared" si="55"/>
        <v>EinzelfuttermittelKatzeFleisch-, Fisch- und Algenprodukte</v>
      </c>
      <c r="E257" s="4" t="s">
        <v>240</v>
      </c>
      <c r="F257" s="19" t="s">
        <v>90</v>
      </c>
      <c r="G257" s="4" t="s">
        <v>2854</v>
      </c>
      <c r="L257" s="4" t="s">
        <v>2864</v>
      </c>
      <c r="M257" s="4">
        <f t="shared" si="51"/>
        <v>0</v>
      </c>
      <c r="N257" s="4">
        <f t="shared" si="52"/>
        <v>59</v>
      </c>
      <c r="P257" s="4">
        <f t="shared" si="53"/>
        <v>10.3</v>
      </c>
      <c r="R257" s="4">
        <f t="shared" si="54"/>
        <v>0</v>
      </c>
      <c r="U257" s="33" t="str">
        <f t="shared" si="41"/>
        <v/>
      </c>
      <c r="BA257" s="4">
        <v>120.37</v>
      </c>
      <c r="BB257" s="4">
        <v>0.4</v>
      </c>
      <c r="BC257" s="4" t="s">
        <v>1228</v>
      </c>
      <c r="BD257" s="4" t="s">
        <v>2322</v>
      </c>
      <c r="BE257" s="4" t="s">
        <v>240</v>
      </c>
      <c r="BG257" s="4">
        <v>59</v>
      </c>
      <c r="BI257" s="4">
        <v>10.3</v>
      </c>
      <c r="BL257" s="4" t="s">
        <v>2393</v>
      </c>
      <c r="BM257" s="4" t="s">
        <v>2394</v>
      </c>
    </row>
    <row r="258" spans="4:67">
      <c r="D258" s="17" t="str">
        <f t="shared" si="55"/>
        <v>EinzelfuttermittelKatzeEi- und Milchprodukte</v>
      </c>
      <c r="E258" s="4" t="s">
        <v>240</v>
      </c>
      <c r="F258" s="19" t="s">
        <v>90</v>
      </c>
      <c r="G258" s="4" t="s">
        <v>2856</v>
      </c>
      <c r="L258" s="4" t="s">
        <v>2873</v>
      </c>
      <c r="M258" s="4">
        <f t="shared" si="51"/>
        <v>0</v>
      </c>
      <c r="N258" s="4">
        <f t="shared" si="52"/>
        <v>0</v>
      </c>
      <c r="P258" s="4">
        <f t="shared" si="53"/>
        <v>0</v>
      </c>
      <c r="R258" s="4">
        <f t="shared" si="54"/>
        <v>0</v>
      </c>
      <c r="U258" s="33" t="str">
        <f t="shared" si="41"/>
        <v/>
      </c>
      <c r="BA258" s="4">
        <v>232.5</v>
      </c>
      <c r="BB258" s="4">
        <v>2</v>
      </c>
      <c r="BC258" s="4" t="s">
        <v>2470</v>
      </c>
      <c r="BD258" s="4" t="s">
        <v>2473</v>
      </c>
      <c r="BE258" s="4" t="s">
        <v>240</v>
      </c>
      <c r="BL258" s="4" t="s">
        <v>2472</v>
      </c>
      <c r="BM258" s="4" t="s">
        <v>2471</v>
      </c>
    </row>
    <row r="259" spans="4:67">
      <c r="D259" s="17" t="str">
        <f t="shared" si="55"/>
        <v>EinzelfuttermittelKatzeEi- und Milchprodukte</v>
      </c>
      <c r="E259" s="4" t="s">
        <v>240</v>
      </c>
      <c r="F259" s="19" t="s">
        <v>90</v>
      </c>
      <c r="G259" s="4" t="s">
        <v>2856</v>
      </c>
      <c r="L259" s="4" t="s">
        <v>2873</v>
      </c>
      <c r="M259" s="4">
        <f t="shared" si="51"/>
        <v>0</v>
      </c>
      <c r="N259" s="4">
        <f t="shared" si="52"/>
        <v>0</v>
      </c>
      <c r="P259" s="4">
        <f t="shared" si="53"/>
        <v>0</v>
      </c>
      <c r="R259" s="4">
        <f t="shared" si="54"/>
        <v>0</v>
      </c>
      <c r="U259" s="33" t="str">
        <f t="shared" si="41"/>
        <v/>
      </c>
      <c r="BA259" s="4">
        <v>199.67</v>
      </c>
      <c r="BB259" s="4">
        <v>3.3</v>
      </c>
      <c r="BC259" s="4" t="s">
        <v>2474</v>
      </c>
      <c r="BD259" s="4" t="s">
        <v>2473</v>
      </c>
      <c r="BE259" s="4" t="s">
        <v>240</v>
      </c>
      <c r="BL259" s="4" t="s">
        <v>2475</v>
      </c>
      <c r="BM259" s="4" t="s">
        <v>2476</v>
      </c>
    </row>
    <row r="260" spans="4:67">
      <c r="D260" s="17" t="str">
        <f t="shared" si="55"/>
        <v>EinzelfuttermittelKatzeEi- und Milchprodukte</v>
      </c>
      <c r="E260" s="4" t="s">
        <v>240</v>
      </c>
      <c r="F260" s="19" t="s">
        <v>90</v>
      </c>
      <c r="G260" s="4" t="s">
        <v>2856</v>
      </c>
      <c r="L260" s="4" t="s">
        <v>2858</v>
      </c>
      <c r="M260" s="4">
        <f t="shared" si="51"/>
        <v>0</v>
      </c>
      <c r="N260" s="4">
        <f t="shared" si="52"/>
        <v>0</v>
      </c>
      <c r="P260" s="4">
        <f t="shared" si="53"/>
        <v>0</v>
      </c>
      <c r="R260" s="4">
        <f t="shared" si="54"/>
        <v>0</v>
      </c>
      <c r="S260" s="4">
        <v>37000</v>
      </c>
      <c r="T260" s="4">
        <v>96</v>
      </c>
      <c r="U260" s="33">
        <f t="shared" si="41"/>
        <v>385.41666666666669</v>
      </c>
      <c r="V260" s="4">
        <v>0.13</v>
      </c>
      <c r="W260" s="4">
        <v>37</v>
      </c>
      <c r="Z260" s="4">
        <v>1.2</v>
      </c>
      <c r="AB260" s="4">
        <v>0.24</v>
      </c>
      <c r="BA260" s="4">
        <v>45</v>
      </c>
      <c r="BC260" s="4" t="s">
        <v>477</v>
      </c>
      <c r="BD260" s="4" t="s">
        <v>2481</v>
      </c>
      <c r="BE260" s="4" t="s">
        <v>240</v>
      </c>
      <c r="BL260" s="4" t="s">
        <v>2482</v>
      </c>
      <c r="BM260" s="4" t="s">
        <v>2483</v>
      </c>
    </row>
    <row r="261" spans="4:67">
      <c r="D261" s="17" t="str">
        <f t="shared" si="55"/>
        <v>EinzelfuttermittelKatzeFleisch-, Fisch- und Algenprodukte</v>
      </c>
      <c r="E261" s="4" t="s">
        <v>240</v>
      </c>
      <c r="F261" s="19" t="s">
        <v>90</v>
      </c>
      <c r="G261" s="4" t="s">
        <v>2854</v>
      </c>
      <c r="L261" s="4" t="s">
        <v>2864</v>
      </c>
      <c r="M261" s="4">
        <f t="shared" si="51"/>
        <v>6.9</v>
      </c>
      <c r="N261" s="4">
        <f t="shared" si="52"/>
        <v>64.5</v>
      </c>
      <c r="P261" s="4">
        <f t="shared" si="53"/>
        <v>9.5</v>
      </c>
      <c r="R261" s="4">
        <f t="shared" si="54"/>
        <v>0</v>
      </c>
      <c r="U261" s="33" t="str">
        <f t="shared" ref="U261:U324" si="56">IF(S261="","",S261/T261)</f>
        <v/>
      </c>
      <c r="AZ261" s="4">
        <v>2400</v>
      </c>
      <c r="BA261" s="4">
        <v>98.7</v>
      </c>
      <c r="BB261" s="4">
        <v>0.5</v>
      </c>
      <c r="BC261" s="4" t="s">
        <v>2484</v>
      </c>
      <c r="BD261" s="4" t="s">
        <v>2481</v>
      </c>
      <c r="BE261" s="4" t="s">
        <v>240</v>
      </c>
      <c r="BF261" s="4">
        <v>6.9</v>
      </c>
      <c r="BG261" s="4">
        <v>64.5</v>
      </c>
      <c r="BI261" s="4">
        <v>9.5</v>
      </c>
      <c r="BL261" s="4" t="s">
        <v>2485</v>
      </c>
      <c r="BM261" s="4" t="s">
        <v>2486</v>
      </c>
    </row>
    <row r="262" spans="4:67">
      <c r="D262" s="17" t="str">
        <f t="shared" si="55"/>
        <v>EinzelfuttermittelKatzeGemüse, Obst und Faserstoffe</v>
      </c>
      <c r="E262" s="4" t="s">
        <v>240</v>
      </c>
      <c r="F262" s="19" t="s">
        <v>90</v>
      </c>
      <c r="G262" s="4" t="s">
        <v>2855</v>
      </c>
      <c r="L262" s="4" t="s">
        <v>2890</v>
      </c>
      <c r="M262" s="4">
        <f t="shared" si="51"/>
        <v>4</v>
      </c>
      <c r="N262" s="4">
        <f t="shared" si="52"/>
        <v>5</v>
      </c>
      <c r="P262" s="4">
        <f t="shared" si="53"/>
        <v>3.5</v>
      </c>
      <c r="R262" s="4">
        <f t="shared" si="54"/>
        <v>33</v>
      </c>
      <c r="S262" s="4">
        <v>589</v>
      </c>
      <c r="T262" s="4">
        <v>1</v>
      </c>
      <c r="U262" s="33">
        <f t="shared" si="56"/>
        <v>589</v>
      </c>
      <c r="AF262" s="4">
        <v>407</v>
      </c>
      <c r="AW262" s="4">
        <v>313</v>
      </c>
      <c r="BA262" s="4">
        <v>79.2</v>
      </c>
      <c r="BB262" s="4">
        <v>0.8</v>
      </c>
      <c r="BC262" s="4" t="s">
        <v>2487</v>
      </c>
      <c r="BD262" s="4" t="s">
        <v>2481</v>
      </c>
      <c r="BE262" s="4" t="s">
        <v>240</v>
      </c>
      <c r="BF262" s="4">
        <v>4</v>
      </c>
      <c r="BG262" s="4">
        <v>5</v>
      </c>
      <c r="BI262" s="4">
        <v>3.5</v>
      </c>
      <c r="BK262" s="4">
        <v>33</v>
      </c>
      <c r="BL262" s="4" t="s">
        <v>2489</v>
      </c>
      <c r="BM262" s="4" t="s">
        <v>2488</v>
      </c>
    </row>
    <row r="263" spans="4:67">
      <c r="D263" s="17" t="str">
        <f t="shared" si="55"/>
        <v>EinzelfuttermittelKatzeFleisch-, Fisch- und Algenprodukte</v>
      </c>
      <c r="E263" s="4" t="s">
        <v>240</v>
      </c>
      <c r="F263" s="19" t="s">
        <v>90</v>
      </c>
      <c r="G263" s="4" t="s">
        <v>2854</v>
      </c>
      <c r="L263" s="4" t="s">
        <v>220</v>
      </c>
      <c r="M263" s="4">
        <f t="shared" si="51"/>
        <v>0</v>
      </c>
      <c r="N263" s="4">
        <f t="shared" si="52"/>
        <v>0</v>
      </c>
      <c r="P263" s="4">
        <f t="shared" si="53"/>
        <v>0</v>
      </c>
      <c r="R263" s="4">
        <f t="shared" si="54"/>
        <v>0</v>
      </c>
      <c r="U263" s="33" t="str">
        <f t="shared" si="56"/>
        <v/>
      </c>
      <c r="AB263" s="4">
        <v>12.5</v>
      </c>
      <c r="AD263" s="4">
        <v>88300</v>
      </c>
      <c r="BA263" s="4">
        <v>32.5</v>
      </c>
      <c r="BB263" s="4">
        <v>0.2</v>
      </c>
      <c r="BC263" s="4" t="s">
        <v>220</v>
      </c>
      <c r="BD263" s="4" t="s">
        <v>2481</v>
      </c>
      <c r="BE263" s="4" t="s">
        <v>240</v>
      </c>
      <c r="BL263" s="4" t="s">
        <v>220</v>
      </c>
      <c r="BM263" s="4" t="s">
        <v>2490</v>
      </c>
    </row>
    <row r="264" spans="4:67">
      <c r="D264" s="17" t="str">
        <f t="shared" si="55"/>
        <v>EinzelfuttermittelKatzeFleisch-, Fisch- und Algenprodukte</v>
      </c>
      <c r="E264" s="4" t="s">
        <v>240</v>
      </c>
      <c r="F264" s="19" t="s">
        <v>90</v>
      </c>
      <c r="G264" s="4" t="s">
        <v>2854</v>
      </c>
      <c r="L264" s="4" t="s">
        <v>2859</v>
      </c>
      <c r="M264" s="4">
        <f t="shared" si="51"/>
        <v>0</v>
      </c>
      <c r="N264" s="4">
        <f t="shared" si="52"/>
        <v>0</v>
      </c>
      <c r="P264" s="4">
        <f t="shared" si="53"/>
        <v>0</v>
      </c>
      <c r="R264" s="4">
        <f t="shared" si="54"/>
        <v>0</v>
      </c>
      <c r="S264" s="4">
        <v>29300</v>
      </c>
      <c r="T264" s="4">
        <v>50</v>
      </c>
      <c r="U264" s="33">
        <f t="shared" si="56"/>
        <v>586</v>
      </c>
      <c r="Z264" s="4">
        <v>593.5</v>
      </c>
      <c r="AA264" s="4">
        <v>0.83</v>
      </c>
      <c r="AB264" s="4">
        <v>0.81</v>
      </c>
      <c r="AC264" s="4">
        <v>10.4</v>
      </c>
      <c r="BA264" s="4">
        <v>38.200000000000003</v>
      </c>
      <c r="BC264" s="4" t="s">
        <v>2491</v>
      </c>
      <c r="BD264" s="4" t="s">
        <v>2481</v>
      </c>
      <c r="BE264" s="4" t="s">
        <v>240</v>
      </c>
      <c r="BL264" s="4" t="s">
        <v>2493</v>
      </c>
      <c r="BM264" s="4" t="s">
        <v>2492</v>
      </c>
    </row>
    <row r="265" spans="4:67">
      <c r="D265" s="17" t="str">
        <f t="shared" si="55"/>
        <v>EinzelfuttermittelKatzeMineralstoffe</v>
      </c>
      <c r="E265" s="4" t="s">
        <v>240</v>
      </c>
      <c r="F265" s="19" t="s">
        <v>90</v>
      </c>
      <c r="G265" s="4" t="s">
        <v>437</v>
      </c>
      <c r="L265" s="4" t="s">
        <v>2870</v>
      </c>
      <c r="M265" s="4">
        <f t="shared" si="51"/>
        <v>0</v>
      </c>
      <c r="N265" s="4">
        <f t="shared" si="52"/>
        <v>0</v>
      </c>
      <c r="P265" s="4">
        <f t="shared" si="53"/>
        <v>0</v>
      </c>
      <c r="R265" s="4">
        <f t="shared" si="54"/>
        <v>0</v>
      </c>
      <c r="U265" s="33" t="str">
        <f t="shared" si="56"/>
        <v/>
      </c>
      <c r="BA265" s="4">
        <v>81.42</v>
      </c>
      <c r="BB265" s="4">
        <v>0.25</v>
      </c>
      <c r="BC265" s="4" t="s">
        <v>1073</v>
      </c>
      <c r="BD265" s="4" t="s">
        <v>2684</v>
      </c>
      <c r="BE265" s="4" t="s">
        <v>240</v>
      </c>
      <c r="BL265" s="4" t="s">
        <v>2686</v>
      </c>
      <c r="BM265" s="4" t="s">
        <v>2685</v>
      </c>
    </row>
    <row r="266" spans="4:67">
      <c r="D266" s="17" t="str">
        <f t="shared" si="55"/>
        <v>EinzelfuttermittelKatzeFleisch-, Fisch- und Algenprodukte</v>
      </c>
      <c r="E266" s="4" t="s">
        <v>240</v>
      </c>
      <c r="F266" s="19" t="s">
        <v>90</v>
      </c>
      <c r="G266" s="4" t="s">
        <v>2854</v>
      </c>
      <c r="L266" s="4" t="s">
        <v>220</v>
      </c>
      <c r="M266" s="4">
        <f t="shared" si="51"/>
        <v>26.4</v>
      </c>
      <c r="N266" s="4">
        <f t="shared" si="52"/>
        <v>7.4</v>
      </c>
      <c r="P266" s="4">
        <f t="shared" si="53"/>
        <v>2.7</v>
      </c>
      <c r="R266" s="4">
        <f t="shared" si="54"/>
        <v>0</v>
      </c>
      <c r="U266" s="33" t="str">
        <f t="shared" si="56"/>
        <v/>
      </c>
      <c r="AD266" s="4">
        <v>81900</v>
      </c>
      <c r="BA266" s="4">
        <v>48.53</v>
      </c>
      <c r="BB266" s="4">
        <v>0.1</v>
      </c>
      <c r="BC266" s="4" t="s">
        <v>220</v>
      </c>
      <c r="BD266" s="4" t="s">
        <v>1733</v>
      </c>
      <c r="BE266" s="4" t="s">
        <v>240</v>
      </c>
      <c r="BF266" s="4">
        <v>26.4</v>
      </c>
      <c r="BG266" s="4">
        <v>7.4</v>
      </c>
      <c r="BI266" s="4">
        <v>2.7</v>
      </c>
      <c r="BL266" s="4" t="s">
        <v>2825</v>
      </c>
      <c r="BM266" s="4" t="s">
        <v>2824</v>
      </c>
    </row>
    <row r="267" spans="4:67" ht="14.5">
      <c r="D267" s="17" t="str">
        <f t="shared" si="55"/>
        <v>EinzelfuttermittelKatzeFette und Öle</v>
      </c>
      <c r="E267" s="4" t="s">
        <v>240</v>
      </c>
      <c r="F267" s="19" t="s">
        <v>90</v>
      </c>
      <c r="G267" s="4" t="s">
        <v>142</v>
      </c>
      <c r="L267" s="4" t="s">
        <v>143</v>
      </c>
      <c r="M267">
        <f t="shared" si="51"/>
        <v>0</v>
      </c>
      <c r="N267" s="20">
        <f t="shared" si="52"/>
        <v>0</v>
      </c>
      <c r="P267">
        <f t="shared" si="53"/>
        <v>99.9</v>
      </c>
      <c r="Q267"/>
      <c r="R267">
        <f t="shared" si="54"/>
        <v>0</v>
      </c>
      <c r="U267" s="33" t="str">
        <f t="shared" si="56"/>
        <v/>
      </c>
      <c r="AF267" s="4">
        <f>AG267*$BO$267</f>
        <v>0</v>
      </c>
      <c r="AL267" s="4">
        <f>AK267*EFM!$BO$571</f>
        <v>0</v>
      </c>
      <c r="BA267" s="4">
        <v>356.8</v>
      </c>
      <c r="BB267" s="4">
        <v>0.25</v>
      </c>
      <c r="BC267" s="4" t="s">
        <v>143</v>
      </c>
      <c r="BD267" s="4" t="s">
        <v>105</v>
      </c>
      <c r="BE267" s="4" t="s">
        <v>240</v>
      </c>
      <c r="BF267" s="4">
        <v>0</v>
      </c>
      <c r="BG267" s="4">
        <v>0</v>
      </c>
      <c r="BI267" s="4">
        <v>99.9</v>
      </c>
      <c r="BK267" s="4">
        <v>0</v>
      </c>
      <c r="BL267" s="4" t="s">
        <v>143</v>
      </c>
      <c r="BM267" s="4" t="s">
        <v>144</v>
      </c>
      <c r="BN267" s="4" t="s">
        <v>115</v>
      </c>
      <c r="BO267" s="4">
        <v>0.3</v>
      </c>
    </row>
    <row r="268" spans="4:67" ht="14.5">
      <c r="D268" s="17" t="str">
        <f t="shared" si="55"/>
        <v>EinzelfuttermittelKatzeFette und Öle</v>
      </c>
      <c r="E268" s="4" t="s">
        <v>240</v>
      </c>
      <c r="F268" s="19" t="s">
        <v>90</v>
      </c>
      <c r="G268" s="4" t="s">
        <v>142</v>
      </c>
      <c r="L268" s="4" t="s">
        <v>215</v>
      </c>
      <c r="M268">
        <f t="shared" si="51"/>
        <v>0</v>
      </c>
      <c r="N268" s="20">
        <f t="shared" si="52"/>
        <v>0</v>
      </c>
      <c r="O268"/>
      <c r="P268">
        <f t="shared" si="53"/>
        <v>99.9</v>
      </c>
      <c r="Q268"/>
      <c r="R268">
        <f t="shared" si="54"/>
        <v>0</v>
      </c>
      <c r="U268" s="33" t="str">
        <f t="shared" si="56"/>
        <v/>
      </c>
      <c r="AF268" s="4">
        <f>AG268*Einzelfuttermittel!$BO$267</f>
        <v>2439</v>
      </c>
      <c r="AG268" s="4">
        <v>8130</v>
      </c>
      <c r="AK268" s="4">
        <v>880</v>
      </c>
      <c r="AL268" s="4">
        <f>AK268*EFM!$BO$571</f>
        <v>0</v>
      </c>
      <c r="AN268" s="4">
        <v>13.7</v>
      </c>
      <c r="BA268" s="4">
        <v>20.56</v>
      </c>
      <c r="BB268" s="4">
        <v>2.5</v>
      </c>
      <c r="BC268" s="4" t="s">
        <v>215</v>
      </c>
      <c r="BD268" s="4" t="s">
        <v>214</v>
      </c>
      <c r="BE268" s="4" t="s">
        <v>240</v>
      </c>
      <c r="BI268" s="4">
        <v>99.9</v>
      </c>
      <c r="BL268" s="4" t="s">
        <v>215</v>
      </c>
      <c r="BM268" s="4" t="s">
        <v>216</v>
      </c>
    </row>
    <row r="269" spans="4:67" ht="14.5">
      <c r="D269" s="17" t="str">
        <f t="shared" si="55"/>
        <v>EinzelfuttermittelKatzeFette und Öle</v>
      </c>
      <c r="E269" s="4" t="str">
        <f t="shared" ref="E269:E300" si="57">BE269</f>
        <v>Einzelfuttermittel</v>
      </c>
      <c r="F269" s="19" t="s">
        <v>90</v>
      </c>
      <c r="G269" s="4" t="s">
        <v>142</v>
      </c>
      <c r="I269" s="21"/>
      <c r="L269" s="4" t="s">
        <v>215</v>
      </c>
      <c r="M269">
        <f t="shared" si="51"/>
        <v>0</v>
      </c>
      <c r="N269">
        <f t="shared" si="52"/>
        <v>0</v>
      </c>
      <c r="O269"/>
      <c r="P269">
        <f t="shared" si="53"/>
        <v>99.5</v>
      </c>
      <c r="Q269"/>
      <c r="R269">
        <f t="shared" si="54"/>
        <v>0</v>
      </c>
      <c r="U269" s="33" t="str">
        <f t="shared" si="56"/>
        <v/>
      </c>
      <c r="AF269" s="4">
        <f>AG269*Einzelfuttermittel!$BO$267</f>
        <v>0</v>
      </c>
      <c r="AL269" s="4">
        <f>AK269*EFM!$BO$571</f>
        <v>0</v>
      </c>
      <c r="BA269" s="4">
        <v>9.4</v>
      </c>
      <c r="BC269" s="4" t="s">
        <v>215</v>
      </c>
      <c r="BD269" s="4" t="s">
        <v>269</v>
      </c>
      <c r="BE269" s="4" t="s">
        <v>240</v>
      </c>
      <c r="BI269" s="4">
        <v>99.5</v>
      </c>
      <c r="BL269" s="4" t="s">
        <v>276</v>
      </c>
      <c r="BM269" s="4" t="s">
        <v>277</v>
      </c>
    </row>
    <row r="270" spans="4:67" ht="14.5">
      <c r="D270" s="17" t="str">
        <f t="shared" si="55"/>
        <v>EinzelfuttermittelKatzeFette und Öle</v>
      </c>
      <c r="E270" s="4" t="str">
        <f t="shared" si="57"/>
        <v>Einzelfuttermittel</v>
      </c>
      <c r="F270" s="19" t="s">
        <v>90</v>
      </c>
      <c r="G270" s="4" t="s">
        <v>142</v>
      </c>
      <c r="L270" s="4" t="s">
        <v>278</v>
      </c>
      <c r="M270">
        <f t="shared" si="51"/>
        <v>0</v>
      </c>
      <c r="N270" s="20">
        <f t="shared" si="52"/>
        <v>0</v>
      </c>
      <c r="O270"/>
      <c r="P270">
        <f t="shared" si="53"/>
        <v>99.9</v>
      </c>
      <c r="Q270"/>
      <c r="R270">
        <f t="shared" si="54"/>
        <v>0</v>
      </c>
      <c r="U270" s="33" t="str">
        <f t="shared" si="56"/>
        <v/>
      </c>
      <c r="AF270" s="4">
        <f>AG270*Einzelfuttermittel!$BO$267</f>
        <v>0</v>
      </c>
      <c r="AL270" s="4">
        <f>AK270*EFM!$BO$571</f>
        <v>0</v>
      </c>
      <c r="BA270" s="4">
        <v>299.8</v>
      </c>
      <c r="BC270" s="4" t="s">
        <v>278</v>
      </c>
      <c r="BD270" s="4" t="s">
        <v>269</v>
      </c>
      <c r="BE270" s="4" t="s">
        <v>240</v>
      </c>
      <c r="BI270" s="4">
        <v>99.9</v>
      </c>
      <c r="BL270" s="4" t="s">
        <v>280</v>
      </c>
      <c r="BM270" s="4" t="s">
        <v>279</v>
      </c>
    </row>
    <row r="271" spans="4:67" ht="14.5">
      <c r="D271" s="17" t="str">
        <f t="shared" si="55"/>
        <v>EinzelfuttermittelKatzeFette und Öle</v>
      </c>
      <c r="E271" s="4" t="str">
        <f t="shared" si="57"/>
        <v>Einzelfuttermittel</v>
      </c>
      <c r="F271" s="19" t="s">
        <v>90</v>
      </c>
      <c r="G271" s="4" t="s">
        <v>142</v>
      </c>
      <c r="L271" s="4" t="s">
        <v>143</v>
      </c>
      <c r="M271">
        <f t="shared" si="51"/>
        <v>0.2</v>
      </c>
      <c r="N271" s="20">
        <f t="shared" si="52"/>
        <v>0.1</v>
      </c>
      <c r="O271"/>
      <c r="P271">
        <f t="shared" si="53"/>
        <v>99</v>
      </c>
      <c r="Q271"/>
      <c r="R271">
        <f t="shared" si="54"/>
        <v>0.2</v>
      </c>
      <c r="U271" s="33" t="str">
        <f t="shared" si="56"/>
        <v/>
      </c>
      <c r="AF271" s="4">
        <f>AG271*Einzelfuttermittel!$BO$267</f>
        <v>0</v>
      </c>
      <c r="AL271" s="4">
        <f>AK271*EFM!$BO$571</f>
        <v>0</v>
      </c>
      <c r="BA271" s="4">
        <v>65.989999999999995</v>
      </c>
      <c r="BC271" s="4" t="s">
        <v>143</v>
      </c>
      <c r="BD271" s="4" t="s">
        <v>269</v>
      </c>
      <c r="BE271" s="4" t="s">
        <v>240</v>
      </c>
      <c r="BF271" s="4">
        <v>0.2</v>
      </c>
      <c r="BG271" s="4">
        <v>0.1</v>
      </c>
      <c r="BI271" s="4">
        <v>99</v>
      </c>
      <c r="BK271" s="4">
        <v>0.2</v>
      </c>
      <c r="BL271" s="4" t="s">
        <v>282</v>
      </c>
      <c r="BM271" s="4" t="s">
        <v>281</v>
      </c>
    </row>
    <row r="272" spans="4:67" ht="14.5">
      <c r="D272" s="17" t="str">
        <f t="shared" si="55"/>
        <v>EinzelfuttermittelKatzeFette und Öle</v>
      </c>
      <c r="E272" s="4" t="str">
        <f t="shared" si="57"/>
        <v>Einzelfuttermittel</v>
      </c>
      <c r="F272" s="19" t="s">
        <v>90</v>
      </c>
      <c r="G272" s="4" t="s">
        <v>142</v>
      </c>
      <c r="I272" s="21"/>
      <c r="L272" s="4" t="s">
        <v>3212</v>
      </c>
      <c r="M272">
        <f t="shared" si="51"/>
        <v>0</v>
      </c>
      <c r="N272" s="20">
        <f t="shared" si="52"/>
        <v>0</v>
      </c>
      <c r="O272"/>
      <c r="P272">
        <f t="shared" si="53"/>
        <v>99.9</v>
      </c>
      <c r="Q272"/>
      <c r="R272">
        <f t="shared" si="54"/>
        <v>0</v>
      </c>
      <c r="U272" s="33" t="str">
        <f t="shared" si="56"/>
        <v/>
      </c>
      <c r="AD272" s="4">
        <v>135000</v>
      </c>
      <c r="AF272" s="4">
        <f>AG272*Einzelfuttermittel!$BO$267</f>
        <v>3990</v>
      </c>
      <c r="AG272" s="4">
        <v>13300</v>
      </c>
      <c r="AK272" s="4">
        <v>10700</v>
      </c>
      <c r="AL272" s="4">
        <f>AK272*EFM!$BO$571</f>
        <v>0</v>
      </c>
      <c r="BA272" s="4">
        <v>47.98</v>
      </c>
      <c r="BC272" s="4" t="s">
        <v>283</v>
      </c>
      <c r="BD272" s="4" t="s">
        <v>269</v>
      </c>
      <c r="BE272" s="4" t="s">
        <v>240</v>
      </c>
      <c r="BI272" s="4">
        <v>99.9</v>
      </c>
      <c r="BL272" s="4" t="s">
        <v>283</v>
      </c>
      <c r="BM272" s="4" t="s">
        <v>284</v>
      </c>
    </row>
    <row r="273" spans="4:65" ht="14.5">
      <c r="D273" s="17" t="str">
        <f t="shared" si="55"/>
        <v>EinzelfuttermittelKatzeFette und Öle</v>
      </c>
      <c r="E273" s="4" t="str">
        <f t="shared" si="57"/>
        <v>Einzelfuttermittel</v>
      </c>
      <c r="F273" s="19" t="s">
        <v>90</v>
      </c>
      <c r="G273" s="4" t="s">
        <v>142</v>
      </c>
      <c r="L273" s="4" t="s">
        <v>3211</v>
      </c>
      <c r="M273">
        <f t="shared" si="51"/>
        <v>0</v>
      </c>
      <c r="N273">
        <f t="shared" si="52"/>
        <v>0</v>
      </c>
      <c r="O273"/>
      <c r="P273">
        <f t="shared" si="53"/>
        <v>92</v>
      </c>
      <c r="Q273"/>
      <c r="R273">
        <f t="shared" si="54"/>
        <v>0</v>
      </c>
      <c r="U273" s="33" t="str">
        <f t="shared" si="56"/>
        <v/>
      </c>
      <c r="AF273" s="4">
        <f>AG273*Einzelfuttermittel!$BO$267</f>
        <v>0</v>
      </c>
      <c r="AL273" s="4">
        <f>AK273*EFM!$BO$571</f>
        <v>0</v>
      </c>
      <c r="BA273" s="4">
        <v>31.99</v>
      </c>
      <c r="BC273" s="4" t="s">
        <v>285</v>
      </c>
      <c r="BD273" s="4" t="s">
        <v>269</v>
      </c>
      <c r="BE273" s="4" t="s">
        <v>240</v>
      </c>
      <c r="BG273" s="4">
        <v>0</v>
      </c>
      <c r="BI273" s="4">
        <v>92</v>
      </c>
      <c r="BK273" s="4">
        <v>0</v>
      </c>
      <c r="BL273" s="4" t="s">
        <v>286</v>
      </c>
      <c r="BM273" s="4" t="s">
        <v>287</v>
      </c>
    </row>
    <row r="274" spans="4:65" ht="14.5">
      <c r="D274" s="17" t="str">
        <f t="shared" si="55"/>
        <v>EinzelfuttermittelKatzeFette und Öle</v>
      </c>
      <c r="E274" s="4" t="str">
        <f t="shared" si="57"/>
        <v>Einzelfuttermittel</v>
      </c>
      <c r="F274" s="19" t="s">
        <v>90</v>
      </c>
      <c r="G274" s="4" t="s">
        <v>142</v>
      </c>
      <c r="L274" s="4" t="s">
        <v>288</v>
      </c>
      <c r="M274">
        <f t="shared" si="51"/>
        <v>0</v>
      </c>
      <c r="N274">
        <f t="shared" si="52"/>
        <v>0</v>
      </c>
      <c r="P274" s="4">
        <f t="shared" si="53"/>
        <v>99.5</v>
      </c>
      <c r="R274">
        <f t="shared" si="54"/>
        <v>0</v>
      </c>
      <c r="U274" s="33" t="str">
        <f t="shared" si="56"/>
        <v/>
      </c>
      <c r="AF274" s="4">
        <f>AG274*Einzelfuttermittel!$BO$267</f>
        <v>0</v>
      </c>
      <c r="AL274" s="4">
        <f>AK274*EFM!$BO$571</f>
        <v>0</v>
      </c>
      <c r="BA274" s="4">
        <v>6.6</v>
      </c>
      <c r="BC274" s="4" t="s">
        <v>288</v>
      </c>
      <c r="BD274" s="4" t="s">
        <v>269</v>
      </c>
      <c r="BE274" s="4" t="s">
        <v>240</v>
      </c>
      <c r="BF274" s="4">
        <v>0</v>
      </c>
      <c r="BG274" s="4">
        <v>0</v>
      </c>
      <c r="BI274" s="4">
        <v>99.5</v>
      </c>
      <c r="BK274" s="4">
        <v>0</v>
      </c>
      <c r="BL274" s="4" t="s">
        <v>290</v>
      </c>
      <c r="BM274" s="4" t="s">
        <v>289</v>
      </c>
    </row>
    <row r="275" spans="4:65" ht="14.5">
      <c r="D275" s="17" t="str">
        <f t="shared" si="55"/>
        <v>EinzelfuttermittelKatzeFette und Öle</v>
      </c>
      <c r="E275" s="4" t="str">
        <f t="shared" si="57"/>
        <v>Einzelfuttermittel</v>
      </c>
      <c r="F275" s="19" t="s">
        <v>90</v>
      </c>
      <c r="G275" s="4" t="s">
        <v>142</v>
      </c>
      <c r="I275" s="21"/>
      <c r="L275" s="4" t="s">
        <v>293</v>
      </c>
      <c r="M275">
        <f t="shared" si="51"/>
        <v>0</v>
      </c>
      <c r="N275" s="20">
        <f t="shared" si="52"/>
        <v>0</v>
      </c>
      <c r="P275" s="4">
        <f t="shared" si="53"/>
        <v>99.9</v>
      </c>
      <c r="R275">
        <f t="shared" si="54"/>
        <v>0</v>
      </c>
      <c r="U275" s="33" t="str">
        <f t="shared" si="56"/>
        <v/>
      </c>
      <c r="AF275" s="4">
        <f>AG275*Einzelfuttermittel!$BO$267</f>
        <v>0</v>
      </c>
      <c r="AL275" s="4">
        <f>AK275*EFM!$BO$571</f>
        <v>0</v>
      </c>
      <c r="BA275" s="4">
        <v>19.989999999999998</v>
      </c>
      <c r="BC275" s="4" t="s">
        <v>291</v>
      </c>
      <c r="BD275" s="4" t="s">
        <v>269</v>
      </c>
      <c r="BE275" s="4" t="s">
        <v>240</v>
      </c>
      <c r="BI275" s="4">
        <v>99.9</v>
      </c>
      <c r="BL275" s="4" t="s">
        <v>293</v>
      </c>
      <c r="BM275" s="4" t="s">
        <v>292</v>
      </c>
    </row>
    <row r="276" spans="4:65" ht="14.5">
      <c r="D276" s="17" t="str">
        <f t="shared" si="55"/>
        <v>EinzelfuttermittelKatzeFette und Öle</v>
      </c>
      <c r="E276" s="4" t="str">
        <f t="shared" si="57"/>
        <v>Einzelfuttermittel</v>
      </c>
      <c r="F276" s="19" t="s">
        <v>90</v>
      </c>
      <c r="G276" s="4" t="s">
        <v>142</v>
      </c>
      <c r="L276" s="4" t="s">
        <v>3211</v>
      </c>
      <c r="M276">
        <f t="shared" si="51"/>
        <v>0</v>
      </c>
      <c r="N276" s="20">
        <f t="shared" si="52"/>
        <v>0</v>
      </c>
      <c r="P276" s="4">
        <f t="shared" si="53"/>
        <v>99.8</v>
      </c>
      <c r="R276">
        <f t="shared" si="54"/>
        <v>0</v>
      </c>
      <c r="U276" s="33" t="str">
        <f t="shared" si="56"/>
        <v/>
      </c>
      <c r="AF276" s="4">
        <f>AG276*Einzelfuttermittel!$BO$267</f>
        <v>0</v>
      </c>
      <c r="AL276" s="4">
        <f>AK276*EFM!$BO$571</f>
        <v>0</v>
      </c>
      <c r="BA276" s="4">
        <v>39.799999999999997</v>
      </c>
      <c r="BB276" s="4">
        <v>3</v>
      </c>
      <c r="BC276" s="4" t="s">
        <v>406</v>
      </c>
      <c r="BD276" s="4" t="s">
        <v>371</v>
      </c>
      <c r="BE276" s="4" t="s">
        <v>240</v>
      </c>
      <c r="BI276" s="4">
        <v>99.8</v>
      </c>
      <c r="BL276" s="4" t="s">
        <v>408</v>
      </c>
      <c r="BM276" s="4" t="s">
        <v>407</v>
      </c>
    </row>
    <row r="277" spans="4:65" ht="14.5">
      <c r="D277" s="17" t="str">
        <f t="shared" si="55"/>
        <v>EinzelfuttermittelKatzeFette und Öle</v>
      </c>
      <c r="E277" s="4" t="str">
        <f t="shared" si="57"/>
        <v>Einzelfuttermittel</v>
      </c>
      <c r="F277" s="19" t="s">
        <v>90</v>
      </c>
      <c r="G277" s="4" t="s">
        <v>142</v>
      </c>
      <c r="L277" s="4" t="s">
        <v>215</v>
      </c>
      <c r="M277">
        <f t="shared" si="51"/>
        <v>0</v>
      </c>
      <c r="N277" s="20">
        <f t="shared" si="52"/>
        <v>0</v>
      </c>
      <c r="P277" s="4">
        <f t="shared" si="53"/>
        <v>99.9</v>
      </c>
      <c r="R277">
        <f t="shared" si="54"/>
        <v>0</v>
      </c>
      <c r="U277" s="33" t="str">
        <f t="shared" si="56"/>
        <v/>
      </c>
      <c r="AF277" s="4">
        <f>AG277*Einzelfuttermittel!$BO$267</f>
        <v>0</v>
      </c>
      <c r="AL277" s="4">
        <f>AK277*EFM!$BO$571</f>
        <v>0</v>
      </c>
      <c r="BA277" s="4">
        <v>31.8</v>
      </c>
      <c r="BB277" s="4">
        <v>2.5</v>
      </c>
      <c r="BC277" s="4" t="s">
        <v>415</v>
      </c>
      <c r="BD277" s="4" t="s">
        <v>371</v>
      </c>
      <c r="BE277" s="4" t="s">
        <v>240</v>
      </c>
      <c r="BI277" s="4">
        <v>99.9</v>
      </c>
      <c r="BL277" s="4" t="s">
        <v>417</v>
      </c>
      <c r="BM277" s="4" t="s">
        <v>416</v>
      </c>
    </row>
    <row r="278" spans="4:65" ht="14.5">
      <c r="D278" s="17" t="str">
        <f t="shared" si="55"/>
        <v>EinzelfuttermittelKatzeFette und Öle</v>
      </c>
      <c r="E278" s="4" t="str">
        <f t="shared" si="57"/>
        <v>Einzelfuttermittel</v>
      </c>
      <c r="F278" s="19" t="s">
        <v>90</v>
      </c>
      <c r="G278" s="4" t="s">
        <v>142</v>
      </c>
      <c r="I278" s="21"/>
      <c r="L278" s="4" t="s">
        <v>3212</v>
      </c>
      <c r="M278">
        <f t="shared" si="51"/>
        <v>0</v>
      </c>
      <c r="N278">
        <f t="shared" si="52"/>
        <v>0</v>
      </c>
      <c r="P278" s="4">
        <f t="shared" si="53"/>
        <v>100</v>
      </c>
      <c r="R278">
        <f t="shared" si="54"/>
        <v>0</v>
      </c>
      <c r="U278" s="33" t="str">
        <f t="shared" si="56"/>
        <v/>
      </c>
      <c r="AF278" s="4">
        <f>AG278*Einzelfuttermittel!$BO$267</f>
        <v>37800</v>
      </c>
      <c r="AG278" s="4">
        <v>126000</v>
      </c>
      <c r="AK278" s="4">
        <v>10200</v>
      </c>
      <c r="AL278" s="4">
        <f>AK278*EFM!$BO$571</f>
        <v>0</v>
      </c>
      <c r="AN278" s="4">
        <v>100</v>
      </c>
      <c r="BA278" s="4">
        <v>33.130000000000003</v>
      </c>
      <c r="BB278" s="4">
        <v>1.1499999999999999</v>
      </c>
      <c r="BC278" s="4" t="s">
        <v>430</v>
      </c>
      <c r="BD278" s="4" t="s">
        <v>431</v>
      </c>
      <c r="BE278" s="4" t="s">
        <v>240</v>
      </c>
      <c r="BI278" s="4">
        <v>100</v>
      </c>
      <c r="BL278" s="4" t="s">
        <v>430</v>
      </c>
      <c r="BM278" s="4" t="s">
        <v>432</v>
      </c>
    </row>
    <row r="279" spans="4:65" ht="14.5">
      <c r="D279" s="17" t="str">
        <f t="shared" si="55"/>
        <v>EinzelfuttermittelKatzeFette und Öle</v>
      </c>
      <c r="E279" s="4" t="str">
        <f t="shared" si="57"/>
        <v>Einzelfuttermittel</v>
      </c>
      <c r="F279" s="19" t="s">
        <v>90</v>
      </c>
      <c r="G279" s="4" t="s">
        <v>142</v>
      </c>
      <c r="L279" s="4" t="s">
        <v>143</v>
      </c>
      <c r="M279">
        <f t="shared" si="51"/>
        <v>0</v>
      </c>
      <c r="N279">
        <f t="shared" si="52"/>
        <v>0</v>
      </c>
      <c r="P279">
        <f t="shared" si="53"/>
        <v>100</v>
      </c>
      <c r="R279">
        <f t="shared" si="54"/>
        <v>0</v>
      </c>
      <c r="U279" s="33" t="str">
        <f t="shared" si="56"/>
        <v/>
      </c>
      <c r="BA279" s="4">
        <v>245</v>
      </c>
      <c r="BC279" s="4" t="s">
        <v>453</v>
      </c>
      <c r="BD279" s="4" t="s">
        <v>431</v>
      </c>
      <c r="BE279" s="4" t="s">
        <v>240</v>
      </c>
      <c r="BI279" s="4">
        <v>100</v>
      </c>
      <c r="BL279" s="4" t="s">
        <v>455</v>
      </c>
      <c r="BM279" s="4" t="s">
        <v>454</v>
      </c>
    </row>
    <row r="280" spans="4:65" ht="14.5">
      <c r="D280" s="17" t="str">
        <f t="shared" si="55"/>
        <v>EinzelfuttermittelKatzeFette und Öle</v>
      </c>
      <c r="E280" s="4" t="str">
        <f t="shared" si="57"/>
        <v>Einzelfuttermittel</v>
      </c>
      <c r="F280" s="19" t="s">
        <v>90</v>
      </c>
      <c r="G280" s="4" t="s">
        <v>142</v>
      </c>
      <c r="L280" s="4" t="s">
        <v>465</v>
      </c>
      <c r="M280">
        <f t="shared" si="51"/>
        <v>0</v>
      </c>
      <c r="N280" s="20">
        <f t="shared" si="52"/>
        <v>0</v>
      </c>
      <c r="P280">
        <f t="shared" si="53"/>
        <v>100</v>
      </c>
      <c r="R280">
        <f t="shared" si="54"/>
        <v>0</v>
      </c>
      <c r="U280" s="33" t="str">
        <f t="shared" si="56"/>
        <v/>
      </c>
      <c r="BA280" s="4">
        <v>35.96</v>
      </c>
      <c r="BB280" s="4">
        <v>0.75</v>
      </c>
      <c r="BC280" s="4" t="s">
        <v>465</v>
      </c>
      <c r="BD280" s="4" t="s">
        <v>431</v>
      </c>
      <c r="BE280" s="4" t="s">
        <v>240</v>
      </c>
      <c r="BI280" s="4">
        <v>100</v>
      </c>
      <c r="BL280" s="4" t="s">
        <v>466</v>
      </c>
      <c r="BM280" s="4" t="s">
        <v>467</v>
      </c>
    </row>
    <row r="281" spans="4:65" ht="14.5">
      <c r="D281" s="17" t="str">
        <f t="shared" si="55"/>
        <v>EinzelfuttermittelKatzeFette und Öle</v>
      </c>
      <c r="E281" s="4" t="str">
        <f t="shared" si="57"/>
        <v>Einzelfuttermittel</v>
      </c>
      <c r="F281" s="19" t="s">
        <v>90</v>
      </c>
      <c r="G281" s="4" t="s">
        <v>142</v>
      </c>
      <c r="I281" s="21"/>
      <c r="L281" s="4" t="s">
        <v>3211</v>
      </c>
      <c r="M281">
        <f t="shared" si="51"/>
        <v>0</v>
      </c>
      <c r="N281" s="20">
        <f t="shared" si="52"/>
        <v>0.19</v>
      </c>
      <c r="P281">
        <f t="shared" si="53"/>
        <v>99.8</v>
      </c>
      <c r="R281">
        <f t="shared" si="54"/>
        <v>0</v>
      </c>
      <c r="U281" s="33" t="str">
        <f t="shared" si="56"/>
        <v/>
      </c>
      <c r="BA281" s="4">
        <v>1499</v>
      </c>
      <c r="BC281" s="4" t="s">
        <v>469</v>
      </c>
      <c r="BD281" s="4" t="s">
        <v>470</v>
      </c>
      <c r="BE281" s="4" t="s">
        <v>240</v>
      </c>
      <c r="BG281" s="4">
        <v>0.19</v>
      </c>
      <c r="BI281" s="4">
        <v>99.8</v>
      </c>
      <c r="BL281" s="4" t="s">
        <v>472</v>
      </c>
      <c r="BM281" s="4" t="s">
        <v>471</v>
      </c>
    </row>
    <row r="282" spans="4:65" ht="14.5">
      <c r="D282" s="17" t="str">
        <f t="shared" si="55"/>
        <v>EinzelfuttermittelKatzeFette und Öle</v>
      </c>
      <c r="E282" s="4" t="str">
        <f t="shared" si="57"/>
        <v>Einzelfuttermittel</v>
      </c>
      <c r="F282" s="19" t="s">
        <v>90</v>
      </c>
      <c r="G282" s="4" t="s">
        <v>142</v>
      </c>
      <c r="L282" s="4" t="s">
        <v>215</v>
      </c>
      <c r="M282">
        <f t="shared" ref="M282:M313" si="58">BF282</f>
        <v>0</v>
      </c>
      <c r="N282">
        <f t="shared" ref="N282:N313" si="59">BG282</f>
        <v>0</v>
      </c>
      <c r="P282" s="4">
        <f t="shared" ref="P282:P313" si="60">BI282</f>
        <v>99.9</v>
      </c>
      <c r="R282">
        <f t="shared" ref="R282:R313" si="61">BK282</f>
        <v>0</v>
      </c>
      <c r="U282" s="33" t="str">
        <f t="shared" si="56"/>
        <v/>
      </c>
      <c r="BA282" s="4">
        <v>41.98</v>
      </c>
      <c r="BC282" s="4" t="s">
        <v>648</v>
      </c>
      <c r="BD282" s="4" t="s">
        <v>646</v>
      </c>
      <c r="BE282" s="4" t="s">
        <v>240</v>
      </c>
      <c r="BI282" s="4">
        <v>99.9</v>
      </c>
      <c r="BL282" s="4" t="s">
        <v>215</v>
      </c>
      <c r="BM282" s="4" t="s">
        <v>649</v>
      </c>
    </row>
    <row r="283" spans="4:65" ht="14.5">
      <c r="D283" s="17" t="str">
        <f t="shared" si="55"/>
        <v>EinzelfuttermittelKatzeFette und Öle</v>
      </c>
      <c r="E283" s="4" t="str">
        <f t="shared" si="57"/>
        <v>Einzelfuttermittel</v>
      </c>
      <c r="F283" s="19" t="s">
        <v>90</v>
      </c>
      <c r="G283" s="4" t="s">
        <v>142</v>
      </c>
      <c r="L283" s="4" t="s">
        <v>288</v>
      </c>
      <c r="M283">
        <f t="shared" si="58"/>
        <v>0</v>
      </c>
      <c r="N283" s="20">
        <f t="shared" si="59"/>
        <v>0</v>
      </c>
      <c r="P283" s="4">
        <f t="shared" si="60"/>
        <v>99.7</v>
      </c>
      <c r="R283">
        <f t="shared" si="61"/>
        <v>0.1</v>
      </c>
      <c r="U283" s="33" t="str">
        <f t="shared" si="56"/>
        <v/>
      </c>
      <c r="BA283" s="4">
        <v>9.2799999999999994</v>
      </c>
      <c r="BC283" s="4" t="s">
        <v>288</v>
      </c>
      <c r="BD283" s="4" t="s">
        <v>680</v>
      </c>
      <c r="BE283" s="4" t="s">
        <v>240</v>
      </c>
      <c r="BI283" s="4">
        <v>99.7</v>
      </c>
      <c r="BK283" s="4">
        <v>0.1</v>
      </c>
      <c r="BL283" s="4" t="s">
        <v>288</v>
      </c>
      <c r="BM283" s="4" t="s">
        <v>689</v>
      </c>
    </row>
    <row r="284" spans="4:65" ht="14.5">
      <c r="D284" s="17" t="str">
        <f t="shared" si="55"/>
        <v>EinzelfuttermittelKatzeFette und Öle</v>
      </c>
      <c r="E284" s="4" t="str">
        <f t="shared" si="57"/>
        <v>Einzelfuttermittel</v>
      </c>
      <c r="F284" s="19" t="s">
        <v>90</v>
      </c>
      <c r="G284" s="4" t="s">
        <v>142</v>
      </c>
      <c r="L284" s="4" t="s">
        <v>215</v>
      </c>
      <c r="M284">
        <f t="shared" si="58"/>
        <v>0</v>
      </c>
      <c r="N284" s="20">
        <f t="shared" si="59"/>
        <v>0</v>
      </c>
      <c r="P284" s="4">
        <f t="shared" si="60"/>
        <v>99</v>
      </c>
      <c r="R284">
        <f t="shared" si="61"/>
        <v>0</v>
      </c>
      <c r="U284" s="33" t="str">
        <f t="shared" si="56"/>
        <v/>
      </c>
      <c r="BA284" s="4">
        <v>9.2799999999999994</v>
      </c>
      <c r="BC284" s="4" t="s">
        <v>215</v>
      </c>
      <c r="BD284" s="4" t="s">
        <v>680</v>
      </c>
      <c r="BE284" s="4" t="s">
        <v>240</v>
      </c>
      <c r="BI284" s="4">
        <v>99</v>
      </c>
      <c r="BL284" s="4" t="s">
        <v>215</v>
      </c>
      <c r="BM284" s="4" t="s">
        <v>690</v>
      </c>
    </row>
    <row r="285" spans="4:65" ht="14.5">
      <c r="D285" s="17" t="str">
        <f t="shared" si="55"/>
        <v>EinzelfuttermittelKatzeFette und Öle</v>
      </c>
      <c r="E285" s="4" t="str">
        <f t="shared" si="57"/>
        <v>Einzelfuttermittel</v>
      </c>
      <c r="F285" s="19" t="s">
        <v>90</v>
      </c>
      <c r="G285" s="4" t="s">
        <v>142</v>
      </c>
      <c r="I285" s="21"/>
      <c r="L285" s="4" t="s">
        <v>293</v>
      </c>
      <c r="M285">
        <f t="shared" si="58"/>
        <v>0</v>
      </c>
      <c r="N285" s="20">
        <f t="shared" si="59"/>
        <v>0</v>
      </c>
      <c r="P285" s="4">
        <f t="shared" si="60"/>
        <v>100</v>
      </c>
      <c r="R285">
        <f t="shared" si="61"/>
        <v>0</v>
      </c>
      <c r="U285" s="33" t="str">
        <f t="shared" si="56"/>
        <v/>
      </c>
      <c r="BA285" s="4">
        <v>53.95</v>
      </c>
      <c r="BB285" s="4">
        <v>1</v>
      </c>
      <c r="BC285" s="4" t="s">
        <v>709</v>
      </c>
      <c r="BD285" s="4" t="s">
        <v>703</v>
      </c>
      <c r="BE285" s="4" t="s">
        <v>240</v>
      </c>
      <c r="BG285" s="4">
        <v>0</v>
      </c>
      <c r="BI285" s="4">
        <v>100</v>
      </c>
      <c r="BK285" s="4">
        <v>0</v>
      </c>
      <c r="BL285" s="4" t="s">
        <v>711</v>
      </c>
      <c r="BM285" s="4" t="s">
        <v>710</v>
      </c>
    </row>
    <row r="286" spans="4:65" ht="14.5">
      <c r="D286" s="17" t="str">
        <f t="shared" ref="D286:D317" si="62">E286&amp;""&amp;F286&amp;""&amp;G286&amp;""&amp;H286</f>
        <v>EinzelfuttermittelKatzeFette und Öle</v>
      </c>
      <c r="E286" s="4" t="str">
        <f t="shared" si="57"/>
        <v>Einzelfuttermittel</v>
      </c>
      <c r="F286" s="19" t="s">
        <v>90</v>
      </c>
      <c r="G286" s="4" t="s">
        <v>142</v>
      </c>
      <c r="L286" s="4" t="s">
        <v>3212</v>
      </c>
      <c r="M286">
        <f t="shared" si="58"/>
        <v>0</v>
      </c>
      <c r="N286">
        <f t="shared" si="59"/>
        <v>0</v>
      </c>
      <c r="P286" s="4">
        <f t="shared" si="60"/>
        <v>100</v>
      </c>
      <c r="R286">
        <f t="shared" si="61"/>
        <v>0</v>
      </c>
      <c r="U286" s="33" t="str">
        <f t="shared" si="56"/>
        <v/>
      </c>
      <c r="AG286" s="4">
        <v>16000</v>
      </c>
      <c r="AK286" s="4">
        <v>1680</v>
      </c>
      <c r="BA286" s="4">
        <v>49.96</v>
      </c>
      <c r="BB286" s="4">
        <v>1</v>
      </c>
      <c r="BC286" s="4" t="s">
        <v>726</v>
      </c>
      <c r="BD286" s="4" t="s">
        <v>703</v>
      </c>
      <c r="BE286" s="4" t="s">
        <v>240</v>
      </c>
      <c r="BI286" s="4">
        <v>100</v>
      </c>
      <c r="BL286" s="4" t="s">
        <v>728</v>
      </c>
      <c r="BM286" s="4" t="s">
        <v>727</v>
      </c>
    </row>
    <row r="287" spans="4:65" ht="14.5">
      <c r="D287" s="17" t="str">
        <f t="shared" si="62"/>
        <v>EinzelfuttermittelKatzeFette und Öle</v>
      </c>
      <c r="E287" s="4" t="str">
        <f t="shared" si="57"/>
        <v>Einzelfuttermittel</v>
      </c>
      <c r="F287" s="19" t="s">
        <v>90</v>
      </c>
      <c r="G287" s="4" t="s">
        <v>142</v>
      </c>
      <c r="I287" s="21"/>
      <c r="L287" s="4" t="s">
        <v>215</v>
      </c>
      <c r="M287">
        <f t="shared" si="58"/>
        <v>0</v>
      </c>
      <c r="N287" s="20">
        <f t="shared" si="59"/>
        <v>0</v>
      </c>
      <c r="P287" s="4">
        <f t="shared" si="60"/>
        <v>100</v>
      </c>
      <c r="R287">
        <f t="shared" si="61"/>
        <v>0</v>
      </c>
      <c r="U287" s="33" t="str">
        <f t="shared" si="56"/>
        <v/>
      </c>
      <c r="BA287" s="4">
        <v>41.96</v>
      </c>
      <c r="BB287" s="4">
        <v>1</v>
      </c>
      <c r="BC287" s="4" t="s">
        <v>736</v>
      </c>
      <c r="BD287" s="4" t="s">
        <v>703</v>
      </c>
      <c r="BE287" s="4" t="s">
        <v>240</v>
      </c>
      <c r="BI287" s="4">
        <v>100</v>
      </c>
      <c r="BL287" s="4" t="s">
        <v>738</v>
      </c>
      <c r="BM287" s="4" t="s">
        <v>737</v>
      </c>
    </row>
    <row r="288" spans="4:65" ht="14.5">
      <c r="D288" s="17" t="str">
        <f t="shared" si="62"/>
        <v>EinzelfuttermittelKatzeFette und Öle</v>
      </c>
      <c r="E288" s="4" t="str">
        <f t="shared" si="57"/>
        <v>Einzelfuttermittel</v>
      </c>
      <c r="F288" s="19" t="s">
        <v>90</v>
      </c>
      <c r="G288" s="4" t="s">
        <v>142</v>
      </c>
      <c r="I288" s="21"/>
      <c r="L288" s="4" t="s">
        <v>215</v>
      </c>
      <c r="M288">
        <f t="shared" si="58"/>
        <v>0</v>
      </c>
      <c r="N288">
        <f t="shared" si="59"/>
        <v>0</v>
      </c>
      <c r="P288" s="4">
        <f t="shared" si="60"/>
        <v>99.5</v>
      </c>
      <c r="R288">
        <f t="shared" si="61"/>
        <v>0</v>
      </c>
      <c r="U288" s="33" t="str">
        <f t="shared" si="56"/>
        <v/>
      </c>
      <c r="BA288" s="4">
        <v>21.85</v>
      </c>
      <c r="BB288" s="4">
        <v>2.5</v>
      </c>
      <c r="BC288" s="4" t="s">
        <v>902</v>
      </c>
      <c r="BD288" s="4" t="s">
        <v>883</v>
      </c>
      <c r="BE288" s="4" t="s">
        <v>240</v>
      </c>
      <c r="BI288" s="4">
        <v>99.5</v>
      </c>
      <c r="BL288" s="4" t="s">
        <v>738</v>
      </c>
      <c r="BM288" s="4" t="s">
        <v>903</v>
      </c>
    </row>
    <row r="289" spans="4:65" ht="14.5">
      <c r="D289" s="17" t="str">
        <f t="shared" si="62"/>
        <v>EinzelfuttermittelKatzeFette und Öle</v>
      </c>
      <c r="E289" s="4" t="str">
        <f t="shared" si="57"/>
        <v>Einzelfuttermittel</v>
      </c>
      <c r="F289" s="19" t="s">
        <v>90</v>
      </c>
      <c r="G289" s="4" t="s">
        <v>142</v>
      </c>
      <c r="L289" s="4" t="s">
        <v>288</v>
      </c>
      <c r="M289">
        <f t="shared" si="58"/>
        <v>0</v>
      </c>
      <c r="N289">
        <f t="shared" si="59"/>
        <v>0</v>
      </c>
      <c r="P289" s="4">
        <f t="shared" si="60"/>
        <v>99.5</v>
      </c>
      <c r="R289">
        <f t="shared" si="61"/>
        <v>0</v>
      </c>
      <c r="U289" s="33" t="str">
        <f t="shared" si="56"/>
        <v/>
      </c>
      <c r="BA289" s="4">
        <v>37.700000000000003</v>
      </c>
      <c r="BB289" s="4">
        <v>2.5</v>
      </c>
      <c r="BC289" s="4" t="s">
        <v>288</v>
      </c>
      <c r="BD289" s="4" t="s">
        <v>883</v>
      </c>
      <c r="BE289" s="4" t="s">
        <v>240</v>
      </c>
      <c r="BI289" s="4">
        <v>99.5</v>
      </c>
      <c r="BL289" s="4" t="s">
        <v>905</v>
      </c>
      <c r="BM289" s="4" t="s">
        <v>904</v>
      </c>
    </row>
    <row r="290" spans="4:65" ht="14.5">
      <c r="D290" s="17" t="str">
        <f t="shared" si="62"/>
        <v>EinzelfuttermittelKatzeFette und Öle</v>
      </c>
      <c r="E290" s="4" t="str">
        <f t="shared" si="57"/>
        <v>Einzelfuttermittel</v>
      </c>
      <c r="F290" s="19" t="s">
        <v>90</v>
      </c>
      <c r="G290" s="4" t="s">
        <v>142</v>
      </c>
      <c r="L290" s="4" t="s">
        <v>215</v>
      </c>
      <c r="M290">
        <f t="shared" si="58"/>
        <v>0</v>
      </c>
      <c r="N290">
        <f t="shared" si="59"/>
        <v>0</v>
      </c>
      <c r="P290" s="4">
        <f t="shared" si="60"/>
        <v>99.5</v>
      </c>
      <c r="R290">
        <f t="shared" si="61"/>
        <v>0</v>
      </c>
      <c r="U290" s="33" t="str">
        <f t="shared" si="56"/>
        <v/>
      </c>
      <c r="BA290" s="4">
        <v>17.989999999999998</v>
      </c>
      <c r="BB290" s="4">
        <v>1.5</v>
      </c>
      <c r="BC290" s="4" t="s">
        <v>215</v>
      </c>
      <c r="BD290" s="4" t="s">
        <v>942</v>
      </c>
      <c r="BE290" s="4" t="s">
        <v>240</v>
      </c>
      <c r="BI290" s="4">
        <v>99.5</v>
      </c>
      <c r="BL290" s="4" t="s">
        <v>943</v>
      </c>
      <c r="BM290" s="4" t="s">
        <v>944</v>
      </c>
    </row>
    <row r="291" spans="4:65" ht="14.5">
      <c r="D291" s="17" t="str">
        <f t="shared" si="62"/>
        <v>EinzelfuttermittelKatzeFette und Öle</v>
      </c>
      <c r="E291" s="4" t="str">
        <f t="shared" si="57"/>
        <v>Einzelfuttermittel</v>
      </c>
      <c r="F291" s="19" t="s">
        <v>90</v>
      </c>
      <c r="G291" s="4" t="s">
        <v>142</v>
      </c>
      <c r="I291" s="21"/>
      <c r="L291" s="4" t="s">
        <v>3211</v>
      </c>
      <c r="M291">
        <f t="shared" si="58"/>
        <v>0</v>
      </c>
      <c r="N291" s="20">
        <f t="shared" si="59"/>
        <v>0</v>
      </c>
      <c r="P291" s="4">
        <f t="shared" si="60"/>
        <v>0</v>
      </c>
      <c r="R291">
        <f t="shared" si="61"/>
        <v>0</v>
      </c>
      <c r="U291" s="33" t="str">
        <f t="shared" si="56"/>
        <v/>
      </c>
      <c r="BA291" s="4">
        <v>62.36</v>
      </c>
      <c r="BC291" s="4" t="s">
        <v>406</v>
      </c>
      <c r="BD291" s="4" t="s">
        <v>942</v>
      </c>
      <c r="BE291" s="4" t="s">
        <v>240</v>
      </c>
      <c r="BL291" s="4" t="s">
        <v>950</v>
      </c>
      <c r="BM291" s="4" t="s">
        <v>949</v>
      </c>
    </row>
    <row r="292" spans="4:65" ht="14.5">
      <c r="D292" s="17" t="str">
        <f t="shared" si="62"/>
        <v>EinzelfuttermittelKatzeFette und Öle</v>
      </c>
      <c r="E292" s="4" t="str">
        <f t="shared" si="57"/>
        <v>Einzelfuttermittel</v>
      </c>
      <c r="F292" s="19" t="s">
        <v>90</v>
      </c>
      <c r="G292" s="4" t="s">
        <v>142</v>
      </c>
      <c r="L292" s="4" t="s">
        <v>951</v>
      </c>
      <c r="M292">
        <f t="shared" si="58"/>
        <v>0</v>
      </c>
      <c r="N292" s="20">
        <f t="shared" si="59"/>
        <v>0</v>
      </c>
      <c r="P292" s="4">
        <f t="shared" si="60"/>
        <v>0</v>
      </c>
      <c r="R292">
        <f t="shared" si="61"/>
        <v>0</v>
      </c>
      <c r="U292" s="33" t="str">
        <f t="shared" si="56"/>
        <v/>
      </c>
      <c r="BA292" s="4">
        <v>35.96</v>
      </c>
      <c r="BC292" s="4" t="s">
        <v>951</v>
      </c>
      <c r="BD292" s="4" t="s">
        <v>942</v>
      </c>
      <c r="BE292" s="4" t="s">
        <v>240</v>
      </c>
      <c r="BL292" s="4" t="s">
        <v>952</v>
      </c>
      <c r="BM292" s="4" t="s">
        <v>953</v>
      </c>
    </row>
    <row r="293" spans="4:65" ht="14.5">
      <c r="D293" s="17" t="str">
        <f t="shared" si="62"/>
        <v>EinzelfuttermittelKatzeFette und Öle</v>
      </c>
      <c r="E293" s="4" t="str">
        <f t="shared" si="57"/>
        <v>Einzelfuttermittel</v>
      </c>
      <c r="F293" s="19" t="s">
        <v>90</v>
      </c>
      <c r="G293" s="4" t="s">
        <v>142</v>
      </c>
      <c r="I293" s="21"/>
      <c r="L293" s="4" t="s">
        <v>3212</v>
      </c>
      <c r="M293">
        <f t="shared" si="58"/>
        <v>0</v>
      </c>
      <c r="N293">
        <f t="shared" si="59"/>
        <v>0</v>
      </c>
      <c r="P293" s="4">
        <f t="shared" si="60"/>
        <v>100</v>
      </c>
      <c r="R293">
        <f t="shared" si="61"/>
        <v>0</v>
      </c>
      <c r="U293" s="33" t="str">
        <f t="shared" si="56"/>
        <v/>
      </c>
      <c r="AG293" s="4">
        <v>107000</v>
      </c>
      <c r="AK293" s="4">
        <v>12400</v>
      </c>
      <c r="BA293" s="4">
        <v>55.6</v>
      </c>
      <c r="BB293" s="4">
        <v>0.2</v>
      </c>
      <c r="BC293" s="4" t="s">
        <v>1022</v>
      </c>
      <c r="BD293" s="4" t="s">
        <v>997</v>
      </c>
      <c r="BE293" s="4" t="s">
        <v>240</v>
      </c>
      <c r="BI293" s="4">
        <v>100</v>
      </c>
      <c r="BL293" s="4" t="s">
        <v>1273</v>
      </c>
      <c r="BM293" s="4" t="s">
        <v>1023</v>
      </c>
    </row>
    <row r="294" spans="4:65" ht="17.5">
      <c r="D294" s="17" t="str">
        <f t="shared" si="62"/>
        <v>EinzelfuttermittelKatzeFette und Öle</v>
      </c>
      <c r="E294" s="4" t="str">
        <f t="shared" si="57"/>
        <v>Einzelfuttermittel</v>
      </c>
      <c r="F294" s="19" t="s">
        <v>90</v>
      </c>
      <c r="G294" s="4" t="s">
        <v>142</v>
      </c>
      <c r="L294" s="4" t="s">
        <v>143</v>
      </c>
      <c r="M294">
        <f t="shared" si="58"/>
        <v>0</v>
      </c>
      <c r="N294">
        <f t="shared" si="59"/>
        <v>0</v>
      </c>
      <c r="P294" s="4">
        <f t="shared" si="60"/>
        <v>0</v>
      </c>
      <c r="R294">
        <f t="shared" si="61"/>
        <v>0</v>
      </c>
      <c r="U294" s="33" t="str">
        <f t="shared" si="56"/>
        <v/>
      </c>
      <c r="BA294" s="4">
        <v>149</v>
      </c>
      <c r="BB294" s="4">
        <v>1.3</v>
      </c>
      <c r="BC294" s="4" t="s">
        <v>143</v>
      </c>
      <c r="BD294" s="4" t="s">
        <v>997</v>
      </c>
      <c r="BE294" s="4" t="s">
        <v>240</v>
      </c>
      <c r="BL294" s="4" t="s">
        <v>1272</v>
      </c>
      <c r="BM294" s="4" t="s">
        <v>1028</v>
      </c>
    </row>
    <row r="295" spans="4:65" ht="14.5">
      <c r="D295" s="17" t="str">
        <f t="shared" si="62"/>
        <v>EinzelfuttermittelKatzeFette und Öle</v>
      </c>
      <c r="E295" s="4" t="str">
        <f t="shared" si="57"/>
        <v>Einzelfuttermittel</v>
      </c>
      <c r="F295" s="19" t="s">
        <v>90</v>
      </c>
      <c r="G295" s="4" t="s">
        <v>142</v>
      </c>
      <c r="I295" s="21"/>
      <c r="L295" s="4" t="s">
        <v>1044</v>
      </c>
      <c r="M295">
        <f t="shared" si="58"/>
        <v>0</v>
      </c>
      <c r="N295" s="20">
        <f t="shared" si="59"/>
        <v>0</v>
      </c>
      <c r="P295" s="4">
        <f t="shared" si="60"/>
        <v>0</v>
      </c>
      <c r="R295">
        <f t="shared" si="61"/>
        <v>0</v>
      </c>
      <c r="U295" s="33" t="str">
        <f t="shared" si="56"/>
        <v/>
      </c>
      <c r="BA295" s="4">
        <v>149</v>
      </c>
      <c r="BB295" s="4">
        <v>2.25</v>
      </c>
      <c r="BC295" s="4" t="s">
        <v>1044</v>
      </c>
      <c r="BD295" s="4" t="s">
        <v>997</v>
      </c>
      <c r="BE295" s="4" t="s">
        <v>240</v>
      </c>
      <c r="BL295" s="4" t="s">
        <v>1046</v>
      </c>
      <c r="BM295" s="4" t="s">
        <v>1045</v>
      </c>
    </row>
    <row r="296" spans="4:65" ht="14.5">
      <c r="D296" s="17" t="str">
        <f t="shared" si="62"/>
        <v>EinzelfuttermittelKatzeFette und Öle</v>
      </c>
      <c r="E296" s="4" t="str">
        <f t="shared" si="57"/>
        <v>Einzelfuttermittel</v>
      </c>
      <c r="F296" s="19" t="s">
        <v>90</v>
      </c>
      <c r="G296" s="4" t="s">
        <v>142</v>
      </c>
      <c r="L296" s="4" t="s">
        <v>293</v>
      </c>
      <c r="M296">
        <f t="shared" si="58"/>
        <v>0</v>
      </c>
      <c r="N296">
        <f t="shared" si="59"/>
        <v>0</v>
      </c>
      <c r="P296" s="4">
        <f t="shared" si="60"/>
        <v>100</v>
      </c>
      <c r="R296">
        <f t="shared" si="61"/>
        <v>0</v>
      </c>
      <c r="U296" s="33" t="str">
        <f t="shared" si="56"/>
        <v/>
      </c>
      <c r="BA296" s="4">
        <v>27.8</v>
      </c>
      <c r="BC296" s="4" t="s">
        <v>1084</v>
      </c>
      <c r="BD296" s="4" t="s">
        <v>1077</v>
      </c>
      <c r="BE296" s="4" t="s">
        <v>240</v>
      </c>
      <c r="BI296" s="4">
        <v>100</v>
      </c>
      <c r="BL296" s="4" t="s">
        <v>1086</v>
      </c>
      <c r="BM296" s="4" t="s">
        <v>1085</v>
      </c>
    </row>
    <row r="297" spans="4:65" ht="14.5">
      <c r="D297" s="17" t="str">
        <f t="shared" si="62"/>
        <v>EinzelfuttermittelKatzeFette und Öle</v>
      </c>
      <c r="E297" s="4" t="str">
        <f t="shared" si="57"/>
        <v>Einzelfuttermittel</v>
      </c>
      <c r="F297" s="19" t="s">
        <v>90</v>
      </c>
      <c r="G297" s="4" t="s">
        <v>142</v>
      </c>
      <c r="L297" s="4" t="s">
        <v>215</v>
      </c>
      <c r="M297">
        <f t="shared" si="58"/>
        <v>0</v>
      </c>
      <c r="N297">
        <f t="shared" si="59"/>
        <v>0</v>
      </c>
      <c r="P297" s="4">
        <f t="shared" si="60"/>
        <v>99</v>
      </c>
      <c r="R297">
        <f t="shared" si="61"/>
        <v>0</v>
      </c>
      <c r="U297" s="33" t="str">
        <f t="shared" si="56"/>
        <v/>
      </c>
      <c r="BA297" s="4">
        <v>31.48</v>
      </c>
      <c r="BB297" s="4">
        <v>2.5</v>
      </c>
      <c r="BC297" s="4" t="s">
        <v>215</v>
      </c>
      <c r="BD297" s="4" t="s">
        <v>1173</v>
      </c>
      <c r="BE297" s="4" t="s">
        <v>240</v>
      </c>
      <c r="BI297" s="4">
        <v>99</v>
      </c>
      <c r="BL297" s="4" t="s">
        <v>943</v>
      </c>
      <c r="BM297" s="4" t="s">
        <v>1174</v>
      </c>
    </row>
    <row r="298" spans="4:65" ht="14.5">
      <c r="D298" s="17" t="str">
        <f t="shared" si="62"/>
        <v>EinzelfuttermittelKatzeFette und Öle</v>
      </c>
      <c r="E298" s="4" t="str">
        <f t="shared" si="57"/>
        <v>Einzelfuttermittel</v>
      </c>
      <c r="F298" s="19" t="s">
        <v>90</v>
      </c>
      <c r="G298" s="4" t="s">
        <v>142</v>
      </c>
      <c r="L298" s="4" t="s">
        <v>288</v>
      </c>
      <c r="M298">
        <f t="shared" si="58"/>
        <v>0</v>
      </c>
      <c r="N298">
        <f t="shared" si="59"/>
        <v>0</v>
      </c>
      <c r="P298" s="4">
        <f t="shared" si="60"/>
        <v>99.9</v>
      </c>
      <c r="R298">
        <f t="shared" si="61"/>
        <v>0</v>
      </c>
      <c r="U298" s="33" t="str">
        <f t="shared" si="56"/>
        <v/>
      </c>
      <c r="BA298" s="4">
        <v>27.28</v>
      </c>
      <c r="BB298" s="4">
        <v>5</v>
      </c>
      <c r="BC298" s="4" t="s">
        <v>288</v>
      </c>
      <c r="BD298" s="4" t="s">
        <v>1173</v>
      </c>
      <c r="BE298" s="4" t="s">
        <v>240</v>
      </c>
      <c r="BI298" s="4">
        <v>99.9</v>
      </c>
      <c r="BL298" s="4" t="s">
        <v>1178</v>
      </c>
      <c r="BM298" s="4" t="s">
        <v>1177</v>
      </c>
    </row>
    <row r="299" spans="4:65" ht="14.5">
      <c r="D299" s="17" t="str">
        <f t="shared" si="62"/>
        <v>EinzelfuttermittelKatzeFette und Öle</v>
      </c>
      <c r="E299" s="4" t="str">
        <f t="shared" si="57"/>
        <v>Einzelfuttermittel</v>
      </c>
      <c r="F299" s="19" t="s">
        <v>90</v>
      </c>
      <c r="G299" s="4" t="s">
        <v>142</v>
      </c>
      <c r="L299" s="4" t="s">
        <v>1221</v>
      </c>
      <c r="M299">
        <f t="shared" si="58"/>
        <v>0</v>
      </c>
      <c r="N299">
        <f t="shared" si="59"/>
        <v>0</v>
      </c>
      <c r="P299" s="4">
        <f t="shared" si="60"/>
        <v>100</v>
      </c>
      <c r="R299">
        <f t="shared" si="61"/>
        <v>0</v>
      </c>
      <c r="U299" s="33" t="str">
        <f t="shared" si="56"/>
        <v/>
      </c>
      <c r="BA299" s="4">
        <v>273.8</v>
      </c>
      <c r="BC299" s="4" t="s">
        <v>1221</v>
      </c>
      <c r="BD299" s="4" t="s">
        <v>1217</v>
      </c>
      <c r="BE299" s="4" t="s">
        <v>240</v>
      </c>
      <c r="BI299" s="4">
        <v>100</v>
      </c>
      <c r="BL299" s="4" t="s">
        <v>1223</v>
      </c>
      <c r="BM299" s="4" t="s">
        <v>1222</v>
      </c>
    </row>
    <row r="300" spans="4:65" ht="14.5">
      <c r="D300" s="17" t="str">
        <f t="shared" si="62"/>
        <v>EinzelfuttermittelKatzeFette und Öle</v>
      </c>
      <c r="E300" s="4" t="str">
        <f t="shared" si="57"/>
        <v>Einzelfuttermittel</v>
      </c>
      <c r="F300" s="19" t="s">
        <v>90</v>
      </c>
      <c r="G300" s="4" t="s">
        <v>142</v>
      </c>
      <c r="L300" s="4" t="s">
        <v>288</v>
      </c>
      <c r="M300">
        <f t="shared" si="58"/>
        <v>0</v>
      </c>
      <c r="N300">
        <f t="shared" si="59"/>
        <v>0</v>
      </c>
      <c r="P300" s="4">
        <f t="shared" si="60"/>
        <v>100</v>
      </c>
      <c r="R300">
        <f t="shared" si="61"/>
        <v>0</v>
      </c>
      <c r="U300" s="33" t="str">
        <f t="shared" si="56"/>
        <v/>
      </c>
      <c r="BA300" s="4">
        <v>42.36</v>
      </c>
      <c r="BC300" s="4" t="s">
        <v>288</v>
      </c>
      <c r="BD300" s="4" t="s">
        <v>1217</v>
      </c>
      <c r="BE300" s="4" t="s">
        <v>240</v>
      </c>
      <c r="BI300" s="4">
        <v>100</v>
      </c>
      <c r="BL300" s="4" t="s">
        <v>1227</v>
      </c>
      <c r="BM300" s="4" t="s">
        <v>1226</v>
      </c>
    </row>
    <row r="301" spans="4:65" ht="14.5">
      <c r="D301" s="17" t="str">
        <f t="shared" si="62"/>
        <v>EinzelfuttermittelKatzeFette und Öle</v>
      </c>
      <c r="E301" s="4" t="str">
        <f t="shared" ref="E301:E332" si="63">BE301</f>
        <v>Einzelfuttermittel</v>
      </c>
      <c r="F301" s="19" t="s">
        <v>90</v>
      </c>
      <c r="G301" s="4" t="s">
        <v>142</v>
      </c>
      <c r="L301" s="4" t="s">
        <v>3212</v>
      </c>
      <c r="M301">
        <f t="shared" si="58"/>
        <v>0</v>
      </c>
      <c r="N301">
        <f t="shared" si="59"/>
        <v>0</v>
      </c>
      <c r="P301" s="4">
        <f t="shared" si="60"/>
        <v>100</v>
      </c>
      <c r="R301">
        <f t="shared" si="61"/>
        <v>0</v>
      </c>
      <c r="U301" s="33" t="str">
        <f t="shared" si="56"/>
        <v/>
      </c>
      <c r="BA301" s="4">
        <v>55.16</v>
      </c>
      <c r="BC301" s="4" t="s">
        <v>1234</v>
      </c>
      <c r="BD301" s="4" t="s">
        <v>1217</v>
      </c>
      <c r="BE301" s="4" t="s">
        <v>240</v>
      </c>
      <c r="BI301" s="4">
        <v>100</v>
      </c>
      <c r="BL301" s="4" t="s">
        <v>1235</v>
      </c>
      <c r="BM301" s="4" t="s">
        <v>1236</v>
      </c>
    </row>
    <row r="302" spans="4:65" ht="14.5">
      <c r="D302" s="17" t="str">
        <f t="shared" si="62"/>
        <v>EinzelfuttermittelKatzeFette und Öle</v>
      </c>
      <c r="E302" s="4" t="str">
        <f t="shared" si="63"/>
        <v>Einzelfuttermittel</v>
      </c>
      <c r="F302" s="19" t="s">
        <v>90</v>
      </c>
      <c r="G302" s="4" t="s">
        <v>142</v>
      </c>
      <c r="L302" s="4" t="s">
        <v>215</v>
      </c>
      <c r="M302">
        <f t="shared" si="58"/>
        <v>0</v>
      </c>
      <c r="N302">
        <f t="shared" si="59"/>
        <v>0</v>
      </c>
      <c r="P302" s="4">
        <f t="shared" si="60"/>
        <v>100</v>
      </c>
      <c r="R302">
        <f t="shared" si="61"/>
        <v>0</v>
      </c>
      <c r="U302" s="33" t="str">
        <f t="shared" si="56"/>
        <v/>
      </c>
      <c r="BA302" s="4">
        <v>37.96</v>
      </c>
      <c r="BC302" s="4" t="s">
        <v>1245</v>
      </c>
      <c r="BD302" s="4" t="s">
        <v>1217</v>
      </c>
      <c r="BE302" s="4" t="s">
        <v>240</v>
      </c>
      <c r="BI302" s="4">
        <v>100</v>
      </c>
      <c r="BL302" s="4" t="s">
        <v>738</v>
      </c>
      <c r="BM302" s="4" t="s">
        <v>1246</v>
      </c>
    </row>
    <row r="303" spans="4:65" ht="14.5">
      <c r="D303" s="17" t="str">
        <f t="shared" si="62"/>
        <v>EinzelfuttermittelKatzeFette und Öle</v>
      </c>
      <c r="E303" s="4" t="str">
        <f t="shared" si="63"/>
        <v>Einzelfuttermittel</v>
      </c>
      <c r="F303" s="19" t="s">
        <v>90</v>
      </c>
      <c r="G303" s="4" t="s">
        <v>142</v>
      </c>
      <c r="L303" s="4" t="s">
        <v>215</v>
      </c>
      <c r="M303">
        <f t="shared" si="58"/>
        <v>0</v>
      </c>
      <c r="N303">
        <f t="shared" si="59"/>
        <v>0</v>
      </c>
      <c r="P303" s="4">
        <f t="shared" si="60"/>
        <v>99.6</v>
      </c>
      <c r="R303">
        <f t="shared" si="61"/>
        <v>0</v>
      </c>
      <c r="U303" s="33" t="str">
        <f t="shared" si="56"/>
        <v/>
      </c>
      <c r="BA303" s="4">
        <v>89</v>
      </c>
      <c r="BC303" s="4" t="s">
        <v>215</v>
      </c>
      <c r="BD303" s="4" t="s">
        <v>1415</v>
      </c>
      <c r="BE303" s="4" t="s">
        <v>240</v>
      </c>
      <c r="BF303" s="4">
        <v>0</v>
      </c>
      <c r="BG303" s="4">
        <v>0</v>
      </c>
      <c r="BI303" s="4">
        <v>99.6</v>
      </c>
      <c r="BK303" s="4">
        <v>0</v>
      </c>
      <c r="BL303" s="4" t="s">
        <v>215</v>
      </c>
      <c r="BM303" s="4" t="s">
        <v>1416</v>
      </c>
    </row>
    <row r="304" spans="4:65" ht="14.5">
      <c r="D304" s="17" t="str">
        <f t="shared" si="62"/>
        <v>EinzelfuttermittelKatzeFette und Öle</v>
      </c>
      <c r="E304" s="4" t="str">
        <f t="shared" si="63"/>
        <v>Einzelfuttermittel</v>
      </c>
      <c r="F304" s="19" t="s">
        <v>90</v>
      </c>
      <c r="G304" s="4" t="s">
        <v>142</v>
      </c>
      <c r="L304" s="4" t="s">
        <v>288</v>
      </c>
      <c r="M304">
        <f t="shared" si="58"/>
        <v>0</v>
      </c>
      <c r="N304">
        <f t="shared" si="59"/>
        <v>0</v>
      </c>
      <c r="P304" s="4">
        <f t="shared" si="60"/>
        <v>92</v>
      </c>
      <c r="R304">
        <f t="shared" si="61"/>
        <v>0</v>
      </c>
      <c r="U304" s="33" t="str">
        <f t="shared" si="56"/>
        <v/>
      </c>
      <c r="BA304" s="4">
        <v>15.9</v>
      </c>
      <c r="BB304" s="4">
        <v>2</v>
      </c>
      <c r="BC304" s="4" t="s">
        <v>288</v>
      </c>
      <c r="BD304" s="4" t="s">
        <v>1415</v>
      </c>
      <c r="BE304" s="4" t="s">
        <v>240</v>
      </c>
      <c r="BI304" s="4">
        <v>92</v>
      </c>
      <c r="BL304" s="4" t="s">
        <v>288</v>
      </c>
      <c r="BM304" s="4" t="s">
        <v>1428</v>
      </c>
    </row>
    <row r="305" spans="4:65" ht="14.5">
      <c r="D305" s="17" t="str">
        <f t="shared" si="62"/>
        <v>EinzelfuttermittelKatzeFette und Öle</v>
      </c>
      <c r="E305" s="4" t="str">
        <f t="shared" si="63"/>
        <v>Einzelfuttermittel</v>
      </c>
      <c r="F305" s="19" t="s">
        <v>90</v>
      </c>
      <c r="G305" s="4" t="s">
        <v>142</v>
      </c>
      <c r="L305" s="4" t="s">
        <v>3211</v>
      </c>
      <c r="M305">
        <f t="shared" si="58"/>
        <v>0</v>
      </c>
      <c r="N305">
        <f t="shared" si="59"/>
        <v>0</v>
      </c>
      <c r="P305" s="4">
        <f t="shared" si="60"/>
        <v>91</v>
      </c>
      <c r="R305">
        <f t="shared" si="61"/>
        <v>0</v>
      </c>
      <c r="U305" s="33" t="str">
        <f t="shared" si="56"/>
        <v/>
      </c>
      <c r="BA305" s="4">
        <v>51.6</v>
      </c>
      <c r="BB305" s="4">
        <v>4</v>
      </c>
      <c r="BC305" s="4" t="s">
        <v>468</v>
      </c>
      <c r="BD305" s="4" t="s">
        <v>1415</v>
      </c>
      <c r="BE305" s="4" t="s">
        <v>240</v>
      </c>
      <c r="BI305" s="4">
        <v>91</v>
      </c>
      <c r="BL305" s="4" t="s">
        <v>1429</v>
      </c>
      <c r="BM305" s="4" t="s">
        <v>1430</v>
      </c>
    </row>
    <row r="306" spans="4:65" ht="14.5">
      <c r="D306" s="17" t="str">
        <f t="shared" si="62"/>
        <v>EinzelfuttermittelKatzeFette und Öle</v>
      </c>
      <c r="E306" s="4" t="str">
        <f t="shared" si="63"/>
        <v>Einzelfuttermittel</v>
      </c>
      <c r="F306" s="19" t="s">
        <v>90</v>
      </c>
      <c r="G306" s="4" t="s">
        <v>142</v>
      </c>
      <c r="L306" s="4" t="s">
        <v>278</v>
      </c>
      <c r="M306">
        <f t="shared" si="58"/>
        <v>0.1</v>
      </c>
      <c r="N306">
        <f t="shared" si="59"/>
        <v>0</v>
      </c>
      <c r="P306" s="4">
        <f t="shared" si="60"/>
        <v>99.9</v>
      </c>
      <c r="R306">
        <f t="shared" si="61"/>
        <v>0</v>
      </c>
      <c r="U306" s="33" t="str">
        <f t="shared" si="56"/>
        <v/>
      </c>
      <c r="BB306" s="4">
        <v>0.75</v>
      </c>
      <c r="BC306" s="4" t="s">
        <v>1535</v>
      </c>
      <c r="BD306" s="4" t="s">
        <v>1513</v>
      </c>
      <c r="BE306" s="4" t="s">
        <v>240</v>
      </c>
      <c r="BF306" s="4">
        <v>0.1</v>
      </c>
      <c r="BI306" s="4">
        <v>99.9</v>
      </c>
      <c r="BL306" s="4" t="s">
        <v>1537</v>
      </c>
      <c r="BM306" s="4" t="s">
        <v>1536</v>
      </c>
    </row>
    <row r="307" spans="4:65" ht="14.5">
      <c r="D307" s="17" t="str">
        <f t="shared" si="62"/>
        <v>EinzelfuttermittelKatzeFette und Öle</v>
      </c>
      <c r="E307" s="4" t="str">
        <f t="shared" si="63"/>
        <v>Einzelfuttermittel</v>
      </c>
      <c r="F307" s="19" t="s">
        <v>90</v>
      </c>
      <c r="G307" s="4" t="s">
        <v>142</v>
      </c>
      <c r="L307" s="4" t="s">
        <v>1631</v>
      </c>
      <c r="M307">
        <f t="shared" si="58"/>
        <v>0</v>
      </c>
      <c r="N307">
        <f t="shared" si="59"/>
        <v>0</v>
      </c>
      <c r="P307" s="4">
        <f t="shared" si="60"/>
        <v>100</v>
      </c>
      <c r="R307">
        <f t="shared" si="61"/>
        <v>0</v>
      </c>
      <c r="U307" s="33" t="str">
        <f t="shared" si="56"/>
        <v/>
      </c>
      <c r="BA307" s="4">
        <v>149.9</v>
      </c>
      <c r="BC307" s="4" t="s">
        <v>1631</v>
      </c>
      <c r="BD307" s="4" t="s">
        <v>424</v>
      </c>
      <c r="BE307" s="4" t="s">
        <v>240</v>
      </c>
      <c r="BI307" s="4">
        <v>100</v>
      </c>
      <c r="BL307" s="4" t="s">
        <v>1633</v>
      </c>
      <c r="BM307" s="4" t="s">
        <v>1632</v>
      </c>
    </row>
    <row r="308" spans="4:65" ht="14.5">
      <c r="D308" s="17" t="str">
        <f t="shared" si="62"/>
        <v>EinzelfuttermittelKatzeFette und Öle</v>
      </c>
      <c r="E308" s="4" t="str">
        <f t="shared" si="63"/>
        <v>Einzelfuttermittel</v>
      </c>
      <c r="F308" s="19" t="s">
        <v>90</v>
      </c>
      <c r="G308" s="4" t="s">
        <v>142</v>
      </c>
      <c r="L308" s="4" t="s">
        <v>215</v>
      </c>
      <c r="M308">
        <f t="shared" si="58"/>
        <v>0</v>
      </c>
      <c r="N308">
        <f t="shared" si="59"/>
        <v>0</v>
      </c>
      <c r="P308" s="4">
        <f t="shared" si="60"/>
        <v>100</v>
      </c>
      <c r="R308">
        <f t="shared" si="61"/>
        <v>0</v>
      </c>
      <c r="U308" s="33" t="str">
        <f t="shared" si="56"/>
        <v/>
      </c>
      <c r="BA308" s="4">
        <v>35.96</v>
      </c>
      <c r="BC308" s="4" t="s">
        <v>215</v>
      </c>
      <c r="BD308" s="4" t="s">
        <v>424</v>
      </c>
      <c r="BE308" s="4" t="s">
        <v>240</v>
      </c>
      <c r="BI308" s="4">
        <v>100</v>
      </c>
      <c r="BL308" s="4" t="s">
        <v>215</v>
      </c>
      <c r="BM308" s="4" t="s">
        <v>1634</v>
      </c>
    </row>
    <row r="309" spans="4:65" ht="14.5">
      <c r="D309" s="17" t="str">
        <f t="shared" si="62"/>
        <v>EinzelfuttermittelKatzeFette und Öle</v>
      </c>
      <c r="E309" s="4" t="str">
        <f t="shared" si="63"/>
        <v>Einzelfuttermittel</v>
      </c>
      <c r="F309" s="19" t="s">
        <v>90</v>
      </c>
      <c r="G309" s="4" t="s">
        <v>142</v>
      </c>
      <c r="L309" s="4" t="s">
        <v>143</v>
      </c>
      <c r="M309">
        <f t="shared" si="58"/>
        <v>0</v>
      </c>
      <c r="N309">
        <f t="shared" si="59"/>
        <v>0</v>
      </c>
      <c r="P309" s="4">
        <f t="shared" si="60"/>
        <v>100</v>
      </c>
      <c r="R309">
        <f t="shared" si="61"/>
        <v>0</v>
      </c>
      <c r="U309" s="33" t="str">
        <f t="shared" si="56"/>
        <v/>
      </c>
      <c r="BA309" s="4">
        <v>91.96</v>
      </c>
      <c r="BC309" s="4" t="s">
        <v>143</v>
      </c>
      <c r="BD309" s="4" t="s">
        <v>424</v>
      </c>
      <c r="BE309" s="4" t="s">
        <v>240</v>
      </c>
      <c r="BI309" s="4">
        <v>100</v>
      </c>
      <c r="BL309" s="4" t="s">
        <v>1635</v>
      </c>
      <c r="BM309" s="4" t="s">
        <v>1636</v>
      </c>
    </row>
    <row r="310" spans="4:65" ht="14.5">
      <c r="D310" s="17" t="str">
        <f t="shared" si="62"/>
        <v>EinzelfuttermittelKatzeFette und Öle</v>
      </c>
      <c r="E310" s="4" t="str">
        <f t="shared" si="63"/>
        <v>Einzelfuttermittel</v>
      </c>
      <c r="F310" s="19" t="s">
        <v>90</v>
      </c>
      <c r="G310" s="4" t="s">
        <v>142</v>
      </c>
      <c r="L310" s="4" t="s">
        <v>3211</v>
      </c>
      <c r="M310">
        <f t="shared" si="58"/>
        <v>0</v>
      </c>
      <c r="N310">
        <f t="shared" si="59"/>
        <v>0</v>
      </c>
      <c r="P310" s="4">
        <f t="shared" si="60"/>
        <v>100</v>
      </c>
      <c r="R310">
        <f t="shared" si="61"/>
        <v>0</v>
      </c>
      <c r="U310" s="33" t="str">
        <f t="shared" si="56"/>
        <v/>
      </c>
      <c r="BA310" s="4">
        <v>33.979999999999997</v>
      </c>
      <c r="BC310" s="4" t="s">
        <v>1637</v>
      </c>
      <c r="BD310" s="4" t="s">
        <v>424</v>
      </c>
      <c r="BE310" s="4" t="s">
        <v>240</v>
      </c>
      <c r="BI310" s="4">
        <v>100</v>
      </c>
      <c r="BL310" s="4" t="s">
        <v>468</v>
      </c>
      <c r="BM310" s="4" t="s">
        <v>1638</v>
      </c>
    </row>
    <row r="311" spans="4:65" ht="14.5">
      <c r="D311" s="17" t="str">
        <f t="shared" si="62"/>
        <v>EinzelfuttermittelKatzeFette und Öle</v>
      </c>
      <c r="E311" s="4" t="str">
        <f t="shared" si="63"/>
        <v>Einzelfuttermittel</v>
      </c>
      <c r="F311" s="19" t="s">
        <v>90</v>
      </c>
      <c r="G311" s="4" t="s">
        <v>142</v>
      </c>
      <c r="L311" s="4" t="s">
        <v>288</v>
      </c>
      <c r="M311">
        <f t="shared" si="58"/>
        <v>0</v>
      </c>
      <c r="N311">
        <f t="shared" si="59"/>
        <v>0</v>
      </c>
      <c r="P311" s="4">
        <f t="shared" si="60"/>
        <v>100</v>
      </c>
      <c r="R311">
        <f t="shared" si="61"/>
        <v>0</v>
      </c>
      <c r="U311" s="33" t="str">
        <f t="shared" si="56"/>
        <v/>
      </c>
      <c r="BA311" s="4">
        <v>44.9</v>
      </c>
      <c r="BC311" s="4" t="s">
        <v>1639</v>
      </c>
      <c r="BD311" s="4" t="s">
        <v>424</v>
      </c>
      <c r="BE311" s="4" t="s">
        <v>240</v>
      </c>
      <c r="BI311" s="4">
        <v>100</v>
      </c>
      <c r="BL311" s="4" t="s">
        <v>288</v>
      </c>
      <c r="BM311" s="4" t="s">
        <v>1640</v>
      </c>
    </row>
    <row r="312" spans="4:65" ht="14.5">
      <c r="D312" s="17" t="str">
        <f t="shared" si="62"/>
        <v>EinzelfuttermittelKatzeFette und Öle</v>
      </c>
      <c r="E312" s="4" t="str">
        <f t="shared" si="63"/>
        <v>Einzelfuttermittel</v>
      </c>
      <c r="F312" s="19" t="s">
        <v>90</v>
      </c>
      <c r="G312" s="4" t="s">
        <v>142</v>
      </c>
      <c r="L312" s="4" t="s">
        <v>3212</v>
      </c>
      <c r="M312">
        <f t="shared" si="58"/>
        <v>0</v>
      </c>
      <c r="N312">
        <f t="shared" si="59"/>
        <v>0</v>
      </c>
      <c r="P312" s="4">
        <f t="shared" si="60"/>
        <v>0</v>
      </c>
      <c r="R312">
        <f t="shared" si="61"/>
        <v>0</v>
      </c>
      <c r="U312" s="33" t="str">
        <f t="shared" si="56"/>
        <v/>
      </c>
      <c r="AG312" s="4">
        <v>11400</v>
      </c>
      <c r="AK312" s="4">
        <v>890</v>
      </c>
      <c r="BA312" s="4">
        <v>47.96</v>
      </c>
      <c r="BC312" s="4" t="s">
        <v>430</v>
      </c>
      <c r="BD312" s="4" t="s">
        <v>424</v>
      </c>
      <c r="BE312" s="4" t="s">
        <v>240</v>
      </c>
      <c r="BL312" s="4" t="s">
        <v>1642</v>
      </c>
      <c r="BM312" s="4" t="s">
        <v>1641</v>
      </c>
    </row>
    <row r="313" spans="4:65" ht="14.5">
      <c r="D313" s="17" t="str">
        <f t="shared" si="62"/>
        <v>EinzelfuttermittelKatzeFette und Öle</v>
      </c>
      <c r="E313" s="4" t="str">
        <f t="shared" si="63"/>
        <v>Einzelfuttermittel</v>
      </c>
      <c r="F313" s="19" t="s">
        <v>90</v>
      </c>
      <c r="G313" s="4" t="s">
        <v>142</v>
      </c>
      <c r="L313" s="4" t="s">
        <v>1644</v>
      </c>
      <c r="M313">
        <f t="shared" si="58"/>
        <v>0.04</v>
      </c>
      <c r="N313">
        <f t="shared" si="59"/>
        <v>0.1</v>
      </c>
      <c r="P313" s="4">
        <f t="shared" si="60"/>
        <v>99.5</v>
      </c>
      <c r="R313">
        <f t="shared" si="61"/>
        <v>0.04</v>
      </c>
      <c r="U313" s="33" t="str">
        <f t="shared" si="56"/>
        <v/>
      </c>
      <c r="X313" s="4">
        <v>100</v>
      </c>
      <c r="BA313" s="4">
        <v>43.96</v>
      </c>
      <c r="BB313" s="4">
        <v>3</v>
      </c>
      <c r="BC313" s="4" t="s">
        <v>1644</v>
      </c>
      <c r="BD313" s="4" t="s">
        <v>424</v>
      </c>
      <c r="BE313" s="4" t="s">
        <v>240</v>
      </c>
      <c r="BF313" s="4">
        <v>0.04</v>
      </c>
      <c r="BG313" s="4">
        <v>0.1</v>
      </c>
      <c r="BI313" s="4">
        <v>99.5</v>
      </c>
      <c r="BK313" s="4">
        <v>0.04</v>
      </c>
      <c r="BL313" s="4" t="s">
        <v>1644</v>
      </c>
      <c r="BM313" s="4" t="s">
        <v>1643</v>
      </c>
    </row>
    <row r="314" spans="4:65" ht="14.5">
      <c r="D314" s="17" t="str">
        <f t="shared" si="62"/>
        <v>EinzelfuttermittelKatzeFette und Öle</v>
      </c>
      <c r="E314" s="4" t="str">
        <f t="shared" si="63"/>
        <v>Einzelfuttermittel</v>
      </c>
      <c r="F314" s="19" t="s">
        <v>90</v>
      </c>
      <c r="G314" s="4" t="s">
        <v>142</v>
      </c>
      <c r="L314" s="4" t="s">
        <v>1662</v>
      </c>
      <c r="M314">
        <f t="shared" ref="M314:M345" si="64">BF314</f>
        <v>0</v>
      </c>
      <c r="N314">
        <f t="shared" ref="N314:N345" si="65">BG314</f>
        <v>0</v>
      </c>
      <c r="P314" s="4">
        <f t="shared" ref="P314:P345" si="66">BI314</f>
        <v>99.9</v>
      </c>
      <c r="R314">
        <f t="shared" ref="R314:R345" si="67">BK314</f>
        <v>0</v>
      </c>
      <c r="U314" s="33" t="str">
        <f t="shared" si="56"/>
        <v/>
      </c>
      <c r="BA314" s="4">
        <v>11.35</v>
      </c>
      <c r="BC314" s="4" t="s">
        <v>1662</v>
      </c>
      <c r="BD314" s="4" t="s">
        <v>424</v>
      </c>
      <c r="BE314" s="4" t="s">
        <v>240</v>
      </c>
      <c r="BI314" s="4">
        <v>99.9</v>
      </c>
      <c r="BL314" s="4" t="s">
        <v>1664</v>
      </c>
      <c r="BM314" s="4" t="s">
        <v>1663</v>
      </c>
    </row>
    <row r="315" spans="4:65" ht="14.5">
      <c r="D315" s="17" t="str">
        <f t="shared" si="62"/>
        <v>EinzelfuttermittelKatzeFette und Öle</v>
      </c>
      <c r="E315" s="4" t="str">
        <f t="shared" si="63"/>
        <v>Einzelfuttermittel</v>
      </c>
      <c r="F315" s="19" t="s">
        <v>90</v>
      </c>
      <c r="G315" s="4" t="s">
        <v>142</v>
      </c>
      <c r="L315" s="4" t="s">
        <v>215</v>
      </c>
      <c r="M315">
        <f t="shared" si="64"/>
        <v>0</v>
      </c>
      <c r="N315">
        <f t="shared" si="65"/>
        <v>0</v>
      </c>
      <c r="P315" s="4">
        <f t="shared" si="66"/>
        <v>99.5</v>
      </c>
      <c r="R315">
        <f t="shared" si="67"/>
        <v>0</v>
      </c>
      <c r="U315" s="33" t="str">
        <f t="shared" si="56"/>
        <v/>
      </c>
      <c r="BA315" s="4">
        <v>25.8</v>
      </c>
      <c r="BB315" s="4">
        <v>3.5</v>
      </c>
      <c r="BC315" s="4" t="s">
        <v>215</v>
      </c>
      <c r="BD315" s="4" t="s">
        <v>1725</v>
      </c>
      <c r="BE315" s="4" t="s">
        <v>240</v>
      </c>
      <c r="BF315" s="4">
        <v>0</v>
      </c>
      <c r="BG315" s="4">
        <v>0</v>
      </c>
      <c r="BI315" s="4">
        <v>99.5</v>
      </c>
      <c r="BK315" s="4">
        <v>0</v>
      </c>
      <c r="BL315" s="4" t="s">
        <v>215</v>
      </c>
      <c r="BM315" s="4" t="s">
        <v>1728</v>
      </c>
    </row>
    <row r="316" spans="4:65" ht="14.5">
      <c r="D316" s="17" t="str">
        <f t="shared" si="62"/>
        <v>EinzelfuttermittelKatzeFette und Öle</v>
      </c>
      <c r="E316" s="4" t="str">
        <f t="shared" si="63"/>
        <v>Einzelfuttermittel</v>
      </c>
      <c r="F316" s="19" t="s">
        <v>90</v>
      </c>
      <c r="G316" s="4" t="s">
        <v>142</v>
      </c>
      <c r="L316" s="4" t="s">
        <v>278</v>
      </c>
      <c r="M316">
        <f t="shared" si="64"/>
        <v>0</v>
      </c>
      <c r="N316">
        <f t="shared" si="65"/>
        <v>0</v>
      </c>
      <c r="P316" s="4">
        <f t="shared" si="66"/>
        <v>99.9</v>
      </c>
      <c r="R316">
        <f t="shared" si="67"/>
        <v>0</v>
      </c>
      <c r="U316" s="33" t="str">
        <f t="shared" si="56"/>
        <v/>
      </c>
      <c r="AD316" s="4">
        <v>12</v>
      </c>
      <c r="BA316" s="4">
        <v>239</v>
      </c>
      <c r="BC316" s="4" t="s">
        <v>278</v>
      </c>
      <c r="BD316" s="4" t="s">
        <v>1826</v>
      </c>
      <c r="BE316" s="4" t="s">
        <v>240</v>
      </c>
      <c r="BI316" s="4">
        <v>99.9</v>
      </c>
      <c r="BL316" s="4" t="s">
        <v>1896</v>
      </c>
      <c r="BM316" s="4" t="s">
        <v>1895</v>
      </c>
    </row>
    <row r="317" spans="4:65" ht="14.5">
      <c r="D317" s="17" t="str">
        <f t="shared" si="62"/>
        <v>EinzelfuttermittelKatzeFette und Öle</v>
      </c>
      <c r="E317" s="4" t="str">
        <f t="shared" si="63"/>
        <v>Einzelfuttermittel</v>
      </c>
      <c r="F317" s="19" t="s">
        <v>90</v>
      </c>
      <c r="G317" s="4" t="s">
        <v>142</v>
      </c>
      <c r="L317" s="4" t="s">
        <v>1221</v>
      </c>
      <c r="M317">
        <f t="shared" si="64"/>
        <v>0</v>
      </c>
      <c r="N317">
        <f t="shared" si="65"/>
        <v>0</v>
      </c>
      <c r="P317" s="4">
        <f t="shared" si="66"/>
        <v>0</v>
      </c>
      <c r="R317">
        <f t="shared" si="67"/>
        <v>0</v>
      </c>
      <c r="U317" s="33" t="str">
        <f t="shared" si="56"/>
        <v/>
      </c>
      <c r="BA317" s="4">
        <v>99.6</v>
      </c>
      <c r="BC317" s="4" t="s">
        <v>1898</v>
      </c>
      <c r="BD317" s="4" t="s">
        <v>1826</v>
      </c>
      <c r="BE317" s="4" t="s">
        <v>240</v>
      </c>
      <c r="BL317" s="4" t="s">
        <v>1899</v>
      </c>
      <c r="BM317" s="4" t="s">
        <v>1900</v>
      </c>
    </row>
    <row r="318" spans="4:65" ht="14.5">
      <c r="D318" s="17" t="str">
        <f t="shared" ref="D318:D349" si="68">E318&amp;""&amp;F318&amp;""&amp;G318&amp;""&amp;H318</f>
        <v>EinzelfuttermittelKatzeFette und Öle</v>
      </c>
      <c r="E318" s="4" t="str">
        <f t="shared" si="63"/>
        <v>Einzelfuttermittel</v>
      </c>
      <c r="F318" s="19" t="s">
        <v>90</v>
      </c>
      <c r="G318" s="4" t="s">
        <v>142</v>
      </c>
      <c r="L318" s="4" t="s">
        <v>3211</v>
      </c>
      <c r="M318">
        <f t="shared" si="64"/>
        <v>0</v>
      </c>
      <c r="N318">
        <f t="shared" si="65"/>
        <v>0</v>
      </c>
      <c r="P318" s="4">
        <f t="shared" si="66"/>
        <v>0</v>
      </c>
      <c r="R318">
        <f t="shared" si="67"/>
        <v>0</v>
      </c>
      <c r="U318" s="33" t="str">
        <f t="shared" si="56"/>
        <v/>
      </c>
      <c r="BA318" s="4">
        <v>29.8</v>
      </c>
      <c r="BB318" s="4">
        <v>2.5</v>
      </c>
      <c r="BC318" s="4" t="s">
        <v>285</v>
      </c>
      <c r="BD318" s="4" t="s">
        <v>1826</v>
      </c>
      <c r="BE318" s="4" t="s">
        <v>240</v>
      </c>
      <c r="BL318" s="4" t="s">
        <v>1902</v>
      </c>
      <c r="BM318" s="4" t="s">
        <v>1901</v>
      </c>
    </row>
    <row r="319" spans="4:65" ht="14.5">
      <c r="D319" s="17" t="str">
        <f t="shared" si="68"/>
        <v>EinzelfuttermittelKatzeFette und Öle</v>
      </c>
      <c r="E319" s="4" t="str">
        <f t="shared" si="63"/>
        <v>Einzelfuttermittel</v>
      </c>
      <c r="F319" s="19" t="s">
        <v>90</v>
      </c>
      <c r="G319" s="4" t="s">
        <v>142</v>
      </c>
      <c r="L319" s="4" t="s">
        <v>293</v>
      </c>
      <c r="M319">
        <f t="shared" si="64"/>
        <v>0</v>
      </c>
      <c r="N319">
        <f t="shared" si="65"/>
        <v>0</v>
      </c>
      <c r="P319" s="4">
        <f t="shared" si="66"/>
        <v>0</v>
      </c>
      <c r="R319">
        <f t="shared" si="67"/>
        <v>0</v>
      </c>
      <c r="U319" s="33" t="str">
        <f t="shared" si="56"/>
        <v/>
      </c>
      <c r="BA319" s="4">
        <v>23.9</v>
      </c>
      <c r="BC319" s="4" t="s">
        <v>291</v>
      </c>
      <c r="BD319" s="4" t="s">
        <v>1826</v>
      </c>
      <c r="BE319" s="4" t="s">
        <v>240</v>
      </c>
      <c r="BL319" s="4" t="s">
        <v>1904</v>
      </c>
      <c r="BM319" s="4" t="s">
        <v>1903</v>
      </c>
    </row>
    <row r="320" spans="4:65" ht="14.5">
      <c r="D320" s="17" t="str">
        <f t="shared" si="68"/>
        <v>EinzelfuttermittelKatzeFette und Öle</v>
      </c>
      <c r="E320" s="4" t="str">
        <f t="shared" si="63"/>
        <v>Einzelfuttermittel</v>
      </c>
      <c r="F320" s="19" t="s">
        <v>90</v>
      </c>
      <c r="G320" s="4" t="s">
        <v>142</v>
      </c>
      <c r="L320" s="4" t="s">
        <v>288</v>
      </c>
      <c r="M320">
        <f t="shared" si="64"/>
        <v>0</v>
      </c>
      <c r="N320">
        <f t="shared" si="65"/>
        <v>0</v>
      </c>
      <c r="P320" s="4">
        <f t="shared" si="66"/>
        <v>0</v>
      </c>
      <c r="R320">
        <f t="shared" si="67"/>
        <v>0</v>
      </c>
      <c r="U320" s="33" t="str">
        <f t="shared" si="56"/>
        <v/>
      </c>
      <c r="BA320" s="4">
        <v>24.9</v>
      </c>
      <c r="BC320" s="4" t="s">
        <v>1905</v>
      </c>
      <c r="BD320" s="4" t="s">
        <v>1826</v>
      </c>
      <c r="BE320" s="4" t="s">
        <v>240</v>
      </c>
      <c r="BL320" s="4" t="s">
        <v>1907</v>
      </c>
      <c r="BM320" s="4" t="s">
        <v>1906</v>
      </c>
    </row>
    <row r="321" spans="4:65" ht="14.5">
      <c r="D321" s="17" t="str">
        <f t="shared" si="68"/>
        <v>EinzelfuttermittelKatzeFette und Öle</v>
      </c>
      <c r="E321" s="4" t="str">
        <f t="shared" si="63"/>
        <v>Einzelfuttermittel</v>
      </c>
      <c r="F321" s="19" t="s">
        <v>90</v>
      </c>
      <c r="G321" s="4" t="s">
        <v>142</v>
      </c>
      <c r="L321" s="4" t="s">
        <v>293</v>
      </c>
      <c r="M321">
        <f t="shared" si="64"/>
        <v>0</v>
      </c>
      <c r="N321">
        <f t="shared" si="65"/>
        <v>0</v>
      </c>
      <c r="P321" s="4">
        <f t="shared" si="66"/>
        <v>99</v>
      </c>
      <c r="R321">
        <f t="shared" si="67"/>
        <v>0</v>
      </c>
      <c r="U321" s="33" t="str">
        <f t="shared" si="56"/>
        <v/>
      </c>
      <c r="BA321" s="4">
        <v>45.8</v>
      </c>
      <c r="BB321" s="4">
        <v>1.25</v>
      </c>
      <c r="BC321" s="4" t="s">
        <v>1000</v>
      </c>
      <c r="BD321" s="4" t="s">
        <v>1826</v>
      </c>
      <c r="BE321" s="4" t="s">
        <v>240</v>
      </c>
      <c r="BI321" s="4">
        <v>99</v>
      </c>
      <c r="BL321" s="4" t="s">
        <v>1908</v>
      </c>
      <c r="BM321" s="4" t="s">
        <v>1910</v>
      </c>
    </row>
    <row r="322" spans="4:65" ht="14.5">
      <c r="D322" s="17" t="str">
        <f t="shared" si="68"/>
        <v>EinzelfuttermittelKatzeFette und Öle</v>
      </c>
      <c r="E322" s="4" t="str">
        <f t="shared" si="63"/>
        <v>Einzelfuttermittel</v>
      </c>
      <c r="F322" s="19" t="s">
        <v>90</v>
      </c>
      <c r="G322" s="4" t="s">
        <v>142</v>
      </c>
      <c r="L322" s="4" t="s">
        <v>143</v>
      </c>
      <c r="M322">
        <f t="shared" si="64"/>
        <v>0</v>
      </c>
      <c r="N322">
        <f t="shared" si="65"/>
        <v>0</v>
      </c>
      <c r="P322" s="4">
        <f t="shared" si="66"/>
        <v>0</v>
      </c>
      <c r="R322">
        <f t="shared" si="67"/>
        <v>0</v>
      </c>
      <c r="U322" s="33" t="str">
        <f t="shared" si="56"/>
        <v/>
      </c>
      <c r="BA322" s="4">
        <v>99.6</v>
      </c>
      <c r="BC322" s="4" t="s">
        <v>143</v>
      </c>
      <c r="BD322" s="4" t="s">
        <v>1826</v>
      </c>
      <c r="BE322" s="4" t="s">
        <v>240</v>
      </c>
      <c r="BL322" s="4" t="s">
        <v>1911</v>
      </c>
      <c r="BM322" s="4" t="s">
        <v>1909</v>
      </c>
    </row>
    <row r="323" spans="4:65" ht="14.5">
      <c r="D323" s="17" t="str">
        <f t="shared" si="68"/>
        <v>EinzelfuttermittelKatzeFette und Öle</v>
      </c>
      <c r="E323" s="4" t="str">
        <f t="shared" si="63"/>
        <v>Einzelfuttermittel</v>
      </c>
      <c r="F323" s="19" t="s">
        <v>90</v>
      </c>
      <c r="G323" s="4" t="s">
        <v>142</v>
      </c>
      <c r="L323" s="4" t="s">
        <v>3212</v>
      </c>
      <c r="M323">
        <f t="shared" si="64"/>
        <v>0</v>
      </c>
      <c r="N323">
        <f t="shared" si="65"/>
        <v>0</v>
      </c>
      <c r="P323" s="4">
        <f t="shared" si="66"/>
        <v>100</v>
      </c>
      <c r="R323">
        <f t="shared" si="67"/>
        <v>0</v>
      </c>
      <c r="U323" s="33" t="str">
        <f t="shared" si="56"/>
        <v/>
      </c>
      <c r="AG323" s="4">
        <v>133100</v>
      </c>
      <c r="AK323" s="4">
        <v>11000</v>
      </c>
      <c r="BA323" s="4">
        <v>32.200000000000003</v>
      </c>
      <c r="BC323" s="4" t="s">
        <v>430</v>
      </c>
      <c r="BD323" s="4" t="s">
        <v>1826</v>
      </c>
      <c r="BE323" s="4" t="s">
        <v>240</v>
      </c>
      <c r="BI323" s="4">
        <v>100</v>
      </c>
      <c r="BL323" s="4" t="s">
        <v>1913</v>
      </c>
      <c r="BM323" s="4" t="s">
        <v>1912</v>
      </c>
    </row>
    <row r="324" spans="4:65" ht="14.5">
      <c r="D324" s="17" t="str">
        <f t="shared" si="68"/>
        <v>EinzelfuttermittelKatzeFette und Öle</v>
      </c>
      <c r="E324" s="4" t="str">
        <f t="shared" si="63"/>
        <v>Einzelfuttermittel</v>
      </c>
      <c r="F324" s="19" t="s">
        <v>90</v>
      </c>
      <c r="G324" s="4" t="s">
        <v>142</v>
      </c>
      <c r="L324" s="4" t="s">
        <v>1631</v>
      </c>
      <c r="M324">
        <f t="shared" si="64"/>
        <v>0</v>
      </c>
      <c r="N324">
        <f t="shared" si="65"/>
        <v>0</v>
      </c>
      <c r="P324" s="4">
        <f t="shared" si="66"/>
        <v>0</v>
      </c>
      <c r="R324">
        <f t="shared" si="67"/>
        <v>0</v>
      </c>
      <c r="U324" s="33" t="str">
        <f t="shared" si="56"/>
        <v/>
      </c>
      <c r="BA324" s="4">
        <v>171.6</v>
      </c>
      <c r="BB324" s="4">
        <v>0.75</v>
      </c>
      <c r="BC324" s="4" t="s">
        <v>1631</v>
      </c>
      <c r="BD324" s="4" t="s">
        <v>1826</v>
      </c>
      <c r="BE324" s="4" t="s">
        <v>240</v>
      </c>
      <c r="BL324" s="4" t="s">
        <v>1915</v>
      </c>
      <c r="BM324" s="4" t="s">
        <v>1914</v>
      </c>
    </row>
    <row r="325" spans="4:65" ht="14.5">
      <c r="D325" s="17" t="str">
        <f t="shared" si="68"/>
        <v>EinzelfuttermittelKatzeFette und Öle</v>
      </c>
      <c r="E325" s="4" t="str">
        <f t="shared" si="63"/>
        <v>Einzelfuttermittel</v>
      </c>
      <c r="F325" s="19" t="s">
        <v>90</v>
      </c>
      <c r="G325" s="4" t="s">
        <v>142</v>
      </c>
      <c r="L325" s="4" t="s">
        <v>1905</v>
      </c>
      <c r="M325">
        <f t="shared" si="64"/>
        <v>0</v>
      </c>
      <c r="N325">
        <f t="shared" si="65"/>
        <v>0</v>
      </c>
      <c r="P325" s="4">
        <f t="shared" si="66"/>
        <v>0</v>
      </c>
      <c r="R325">
        <f t="shared" si="67"/>
        <v>0</v>
      </c>
      <c r="U325" s="33" t="str">
        <f t="shared" ref="U325:U388" si="69">IF(S325="","",S325/T325)</f>
        <v/>
      </c>
      <c r="BA325" s="4">
        <v>10.9</v>
      </c>
      <c r="BC325" s="4" t="s">
        <v>1905</v>
      </c>
      <c r="BD325" s="4" t="s">
        <v>1826</v>
      </c>
      <c r="BE325" s="4" t="s">
        <v>240</v>
      </c>
      <c r="BL325" s="4" t="s">
        <v>1916</v>
      </c>
      <c r="BM325" s="4" t="s">
        <v>1917</v>
      </c>
    </row>
    <row r="326" spans="4:65" ht="14.5">
      <c r="D326" s="17" t="str">
        <f t="shared" si="68"/>
        <v>EinzelfuttermittelKatzeFette und Öle</v>
      </c>
      <c r="E326" s="4" t="str">
        <f t="shared" si="63"/>
        <v>Einzelfuttermittel</v>
      </c>
      <c r="F326" s="19" t="s">
        <v>90</v>
      </c>
      <c r="G326" s="4" t="s">
        <v>142</v>
      </c>
      <c r="L326" s="4" t="s">
        <v>215</v>
      </c>
      <c r="M326">
        <f t="shared" si="64"/>
        <v>0</v>
      </c>
      <c r="N326">
        <f t="shared" si="65"/>
        <v>0</v>
      </c>
      <c r="P326" s="4">
        <f t="shared" si="66"/>
        <v>0</v>
      </c>
      <c r="R326">
        <f t="shared" si="67"/>
        <v>0</v>
      </c>
      <c r="U326" s="33" t="str">
        <f t="shared" si="69"/>
        <v/>
      </c>
      <c r="BA326" s="4">
        <v>19.899999999999999</v>
      </c>
      <c r="BC326" s="4" t="s">
        <v>215</v>
      </c>
      <c r="BD326" s="4" t="s">
        <v>1826</v>
      </c>
      <c r="BE326" s="4" t="s">
        <v>240</v>
      </c>
      <c r="BL326" s="4" t="s">
        <v>1918</v>
      </c>
      <c r="BM326" s="4" t="s">
        <v>1919</v>
      </c>
    </row>
    <row r="327" spans="4:65" ht="14.5">
      <c r="D327" s="17" t="str">
        <f t="shared" si="68"/>
        <v>EinzelfuttermittelKatzeFette und Öle</v>
      </c>
      <c r="E327" s="4" t="str">
        <f t="shared" si="63"/>
        <v>Einzelfuttermittel</v>
      </c>
      <c r="F327" s="19" t="s">
        <v>90</v>
      </c>
      <c r="G327" s="4" t="s">
        <v>142</v>
      </c>
      <c r="L327" s="4" t="s">
        <v>1271</v>
      </c>
      <c r="M327">
        <f t="shared" si="64"/>
        <v>5.5</v>
      </c>
      <c r="N327">
        <f t="shared" si="65"/>
        <v>0</v>
      </c>
      <c r="P327" s="4">
        <f t="shared" si="66"/>
        <v>77.400000000000006</v>
      </c>
      <c r="R327">
        <f t="shared" si="67"/>
        <v>0</v>
      </c>
      <c r="U327" s="33" t="str">
        <f t="shared" si="69"/>
        <v/>
      </c>
      <c r="X327" s="4">
        <v>100</v>
      </c>
      <c r="BA327" s="4">
        <v>12.11</v>
      </c>
      <c r="BC327" s="4" t="s">
        <v>2019</v>
      </c>
      <c r="BD327" s="4" t="s">
        <v>2020</v>
      </c>
      <c r="BE327" s="4" t="s">
        <v>240</v>
      </c>
      <c r="BF327" s="4">
        <v>5.5</v>
      </c>
      <c r="BI327" s="4">
        <v>77.400000000000006</v>
      </c>
      <c r="BL327" s="4" t="s">
        <v>2022</v>
      </c>
      <c r="BM327" s="4" t="s">
        <v>2021</v>
      </c>
    </row>
    <row r="328" spans="4:65" ht="14.5">
      <c r="D328" s="17" t="str">
        <f t="shared" si="68"/>
        <v>EinzelfuttermittelKatzeFette und Öle</v>
      </c>
      <c r="E328" s="4" t="str">
        <f t="shared" si="63"/>
        <v>Einzelfuttermittel</v>
      </c>
      <c r="F328" s="19" t="s">
        <v>90</v>
      </c>
      <c r="G328" s="4" t="s">
        <v>142</v>
      </c>
      <c r="L328" s="4" t="s">
        <v>3214</v>
      </c>
      <c r="M328">
        <f t="shared" si="64"/>
        <v>0</v>
      </c>
      <c r="N328">
        <f t="shared" si="65"/>
        <v>0</v>
      </c>
      <c r="P328" s="4">
        <f t="shared" si="66"/>
        <v>99.9</v>
      </c>
      <c r="R328">
        <f t="shared" si="67"/>
        <v>0</v>
      </c>
      <c r="U328" s="33" t="str">
        <f t="shared" si="69"/>
        <v/>
      </c>
      <c r="BA328" s="4">
        <v>58</v>
      </c>
      <c r="BB328" s="4">
        <v>2</v>
      </c>
      <c r="BC328" s="4" t="s">
        <v>2023</v>
      </c>
      <c r="BD328" s="4" t="s">
        <v>2020</v>
      </c>
      <c r="BE328" s="4" t="s">
        <v>240</v>
      </c>
      <c r="BI328" s="4">
        <v>99.9</v>
      </c>
      <c r="BL328" s="4" t="s">
        <v>2024</v>
      </c>
      <c r="BM328" s="4" t="s">
        <v>2025</v>
      </c>
    </row>
    <row r="329" spans="4:65" ht="14.5">
      <c r="D329" s="17" t="str">
        <f t="shared" si="68"/>
        <v>EinzelfuttermittelKatzeFette und Öle</v>
      </c>
      <c r="E329" s="4" t="str">
        <f t="shared" si="63"/>
        <v>Einzelfuttermittel</v>
      </c>
      <c r="F329" s="19" t="s">
        <v>90</v>
      </c>
      <c r="G329" s="4" t="s">
        <v>142</v>
      </c>
      <c r="L329" s="4" t="s">
        <v>3211</v>
      </c>
      <c r="M329">
        <f t="shared" si="64"/>
        <v>0</v>
      </c>
      <c r="N329">
        <f t="shared" si="65"/>
        <v>0</v>
      </c>
      <c r="P329" s="4">
        <f t="shared" si="66"/>
        <v>99.9</v>
      </c>
      <c r="R329">
        <f t="shared" si="67"/>
        <v>0</v>
      </c>
      <c r="U329" s="33" t="str">
        <f t="shared" si="69"/>
        <v/>
      </c>
      <c r="BA329" s="4">
        <v>60</v>
      </c>
      <c r="BC329" s="4" t="s">
        <v>468</v>
      </c>
      <c r="BD329" s="4" t="s">
        <v>2020</v>
      </c>
      <c r="BE329" s="4" t="s">
        <v>240</v>
      </c>
      <c r="BI329" s="4">
        <v>99.9</v>
      </c>
      <c r="BL329" s="4" t="s">
        <v>2035</v>
      </c>
      <c r="BM329" s="4" t="s">
        <v>2034</v>
      </c>
    </row>
    <row r="330" spans="4:65" ht="14.5">
      <c r="D330" s="17" t="str">
        <f t="shared" si="68"/>
        <v>EinzelfuttermittelKatzeFette und Öle</v>
      </c>
      <c r="E330" s="4" t="str">
        <f t="shared" si="63"/>
        <v>Einzelfuttermittel</v>
      </c>
      <c r="F330" s="19" t="s">
        <v>90</v>
      </c>
      <c r="G330" s="4" t="s">
        <v>142</v>
      </c>
      <c r="L330" s="4" t="s">
        <v>3212</v>
      </c>
      <c r="M330">
        <f t="shared" si="64"/>
        <v>0</v>
      </c>
      <c r="N330">
        <f t="shared" si="65"/>
        <v>0</v>
      </c>
      <c r="P330" s="4">
        <f t="shared" si="66"/>
        <v>99.9</v>
      </c>
      <c r="R330">
        <f t="shared" si="67"/>
        <v>0</v>
      </c>
      <c r="U330" s="33" t="str">
        <f t="shared" si="69"/>
        <v/>
      </c>
      <c r="AG330" s="4">
        <v>123300</v>
      </c>
      <c r="AK330" s="4">
        <v>11700</v>
      </c>
      <c r="BA330" s="4">
        <v>112</v>
      </c>
      <c r="BC330" s="4" t="s">
        <v>2036</v>
      </c>
      <c r="BD330" s="4" t="s">
        <v>2020</v>
      </c>
      <c r="BE330" s="4" t="s">
        <v>240</v>
      </c>
      <c r="BI330" s="4">
        <v>99.9</v>
      </c>
      <c r="BL330" s="4" t="s">
        <v>1913</v>
      </c>
      <c r="BM330" s="4" t="s">
        <v>2037</v>
      </c>
    </row>
    <row r="331" spans="4:65" ht="14.5">
      <c r="D331" s="17" t="str">
        <f t="shared" si="68"/>
        <v>EinzelfuttermittelKatzeFette und Öle</v>
      </c>
      <c r="E331" s="4" t="str">
        <f t="shared" si="63"/>
        <v>Einzelfuttermittel</v>
      </c>
      <c r="F331" s="19" t="s">
        <v>90</v>
      </c>
      <c r="G331" s="4" t="s">
        <v>142</v>
      </c>
      <c r="L331" s="4" t="s">
        <v>3212</v>
      </c>
      <c r="M331">
        <f t="shared" si="64"/>
        <v>0</v>
      </c>
      <c r="N331">
        <f t="shared" si="65"/>
        <v>0</v>
      </c>
      <c r="P331" s="4">
        <f t="shared" si="66"/>
        <v>92</v>
      </c>
      <c r="R331">
        <f t="shared" si="67"/>
        <v>0</v>
      </c>
      <c r="U331" s="33" t="str">
        <f t="shared" si="69"/>
        <v/>
      </c>
      <c r="AG331" s="4">
        <v>125000</v>
      </c>
      <c r="AK331" s="4">
        <v>9500</v>
      </c>
      <c r="BA331" s="4">
        <v>35.96</v>
      </c>
      <c r="BB331" s="4">
        <v>0.23</v>
      </c>
      <c r="BC331" s="4" t="s">
        <v>430</v>
      </c>
      <c r="BD331" s="4" t="s">
        <v>2116</v>
      </c>
      <c r="BE331" s="4" t="s">
        <v>240</v>
      </c>
      <c r="BI331" s="4">
        <v>92</v>
      </c>
      <c r="BL331" s="4" t="s">
        <v>728</v>
      </c>
      <c r="BM331" s="4" t="s">
        <v>2117</v>
      </c>
    </row>
    <row r="332" spans="4:65" ht="14.5">
      <c r="D332" s="17" t="str">
        <f t="shared" si="68"/>
        <v>EinzelfuttermittelKatzeFette und Öle</v>
      </c>
      <c r="E332" s="4" t="str">
        <f t="shared" si="63"/>
        <v>Einzelfuttermittel</v>
      </c>
      <c r="F332" s="19" t="s">
        <v>90</v>
      </c>
      <c r="G332" s="4" t="s">
        <v>142</v>
      </c>
      <c r="L332" s="4" t="s">
        <v>3212</v>
      </c>
      <c r="M332">
        <f t="shared" si="64"/>
        <v>0</v>
      </c>
      <c r="N332">
        <f t="shared" si="65"/>
        <v>0</v>
      </c>
      <c r="P332" s="4">
        <f t="shared" si="66"/>
        <v>0</v>
      </c>
      <c r="R332">
        <f t="shared" si="67"/>
        <v>0</v>
      </c>
      <c r="U332" s="33" t="str">
        <f t="shared" si="69"/>
        <v/>
      </c>
      <c r="AG332" s="4">
        <v>31530</v>
      </c>
      <c r="BA332" s="4">
        <v>31.9</v>
      </c>
      <c r="BC332" s="4" t="s">
        <v>430</v>
      </c>
      <c r="BD332" s="4" t="s">
        <v>2188</v>
      </c>
      <c r="BE332" s="4" t="s">
        <v>240</v>
      </c>
      <c r="BL332" s="4" t="s">
        <v>283</v>
      </c>
      <c r="BM332" s="4" t="s">
        <v>2204</v>
      </c>
    </row>
    <row r="333" spans="4:65" ht="14.5">
      <c r="D333" s="17" t="str">
        <f t="shared" si="68"/>
        <v>EinzelfuttermittelKatzeFette und Öle</v>
      </c>
      <c r="E333" s="4" t="str">
        <f t="shared" ref="E333:E351" si="70">BE333</f>
        <v>Einzelfuttermittel</v>
      </c>
      <c r="F333" s="19" t="s">
        <v>90</v>
      </c>
      <c r="G333" s="4" t="s">
        <v>142</v>
      </c>
      <c r="L333" s="4" t="s">
        <v>278</v>
      </c>
      <c r="M333">
        <f t="shared" si="64"/>
        <v>0</v>
      </c>
      <c r="N333">
        <f t="shared" si="65"/>
        <v>0</v>
      </c>
      <c r="P333" s="4">
        <f t="shared" si="66"/>
        <v>0</v>
      </c>
      <c r="R333">
        <f t="shared" si="67"/>
        <v>0</v>
      </c>
      <c r="U333" s="33" t="str">
        <f t="shared" si="69"/>
        <v/>
      </c>
      <c r="BA333" s="4">
        <v>249.5</v>
      </c>
      <c r="BC333" s="4" t="s">
        <v>278</v>
      </c>
      <c r="BD333" s="4" t="s">
        <v>2188</v>
      </c>
      <c r="BE333" s="4" t="s">
        <v>240</v>
      </c>
      <c r="BL333" s="4" t="s">
        <v>2222</v>
      </c>
      <c r="BM333" s="4" t="s">
        <v>2221</v>
      </c>
    </row>
    <row r="334" spans="4:65" ht="14.5">
      <c r="D334" s="17" t="str">
        <f t="shared" si="68"/>
        <v>EinzelfuttermittelKatzeFette und Öle</v>
      </c>
      <c r="E334" s="4" t="str">
        <f t="shared" si="70"/>
        <v>Einzelfuttermittel</v>
      </c>
      <c r="F334" s="19" t="s">
        <v>90</v>
      </c>
      <c r="G334" s="4" t="s">
        <v>142</v>
      </c>
      <c r="L334" s="4" t="s">
        <v>3211</v>
      </c>
      <c r="M334">
        <f t="shared" si="64"/>
        <v>0</v>
      </c>
      <c r="N334">
        <f t="shared" si="65"/>
        <v>0</v>
      </c>
      <c r="P334" s="4">
        <f t="shared" si="66"/>
        <v>99.5</v>
      </c>
      <c r="R334">
        <f t="shared" si="67"/>
        <v>0</v>
      </c>
      <c r="U334" s="33" t="str">
        <f t="shared" si="69"/>
        <v/>
      </c>
      <c r="BA334" s="4">
        <v>43.8</v>
      </c>
      <c r="BC334" s="4" t="s">
        <v>2236</v>
      </c>
      <c r="BD334" s="4" t="s">
        <v>2188</v>
      </c>
      <c r="BE334" s="4" t="s">
        <v>240</v>
      </c>
      <c r="BI334" s="4">
        <v>99.5</v>
      </c>
      <c r="BL334" s="4" t="s">
        <v>2238</v>
      </c>
      <c r="BM334" s="4" t="s">
        <v>2237</v>
      </c>
    </row>
    <row r="335" spans="4:65" ht="14.5">
      <c r="D335" s="17" t="str">
        <f t="shared" si="68"/>
        <v>EinzelfuttermittelKatzeFette und Öle</v>
      </c>
      <c r="E335" s="4" t="str">
        <f t="shared" si="70"/>
        <v>Einzelfuttermittel</v>
      </c>
      <c r="F335" s="19" t="s">
        <v>90</v>
      </c>
      <c r="G335" s="4" t="s">
        <v>142</v>
      </c>
      <c r="L335" s="4" t="s">
        <v>293</v>
      </c>
      <c r="M335">
        <f t="shared" si="64"/>
        <v>0</v>
      </c>
      <c r="N335">
        <f t="shared" si="65"/>
        <v>0</v>
      </c>
      <c r="P335" s="4">
        <f t="shared" si="66"/>
        <v>99.9</v>
      </c>
      <c r="R335">
        <f t="shared" si="67"/>
        <v>0</v>
      </c>
      <c r="U335" s="33" t="str">
        <f t="shared" si="69"/>
        <v/>
      </c>
      <c r="BA335" s="4">
        <v>27.4</v>
      </c>
      <c r="BC335" s="4" t="s">
        <v>2241</v>
      </c>
      <c r="BD335" s="4" t="s">
        <v>2188</v>
      </c>
      <c r="BE335" s="4" t="s">
        <v>240</v>
      </c>
      <c r="BI335" s="4">
        <v>99.9</v>
      </c>
      <c r="BL335" s="4" t="s">
        <v>293</v>
      </c>
      <c r="BM335" s="4" t="s">
        <v>2242</v>
      </c>
    </row>
    <row r="336" spans="4:65" ht="14.5">
      <c r="D336" s="17" t="str">
        <f t="shared" si="68"/>
        <v>EinzelfuttermittelKatzeFette und Öle</v>
      </c>
      <c r="E336" s="4" t="str">
        <f t="shared" si="70"/>
        <v>Einzelfuttermittel</v>
      </c>
      <c r="F336" s="19" t="s">
        <v>90</v>
      </c>
      <c r="G336" s="4" t="s">
        <v>142</v>
      </c>
      <c r="L336" s="4" t="s">
        <v>1631</v>
      </c>
      <c r="M336">
        <f t="shared" si="64"/>
        <v>0</v>
      </c>
      <c r="N336">
        <f t="shared" si="65"/>
        <v>0</v>
      </c>
      <c r="P336" s="4">
        <f t="shared" si="66"/>
        <v>0</v>
      </c>
      <c r="R336">
        <f t="shared" si="67"/>
        <v>0</v>
      </c>
      <c r="U336" s="33" t="str">
        <f t="shared" si="69"/>
        <v/>
      </c>
      <c r="BA336" s="4">
        <v>215</v>
      </c>
      <c r="BC336" s="4" t="s">
        <v>1631</v>
      </c>
      <c r="BD336" s="4" t="s">
        <v>2188</v>
      </c>
      <c r="BE336" s="4" t="s">
        <v>240</v>
      </c>
      <c r="BL336" s="4" t="s">
        <v>1631</v>
      </c>
      <c r="BM336" s="4" t="s">
        <v>2243</v>
      </c>
    </row>
    <row r="337" spans="4:65" ht="14.5">
      <c r="D337" s="17" t="str">
        <f t="shared" si="68"/>
        <v>EinzelfuttermittelKatzeFette und Öle</v>
      </c>
      <c r="E337" s="4" t="str">
        <f t="shared" si="70"/>
        <v>Einzelfuttermittel</v>
      </c>
      <c r="F337" s="19" t="s">
        <v>90</v>
      </c>
      <c r="G337" s="4" t="s">
        <v>142</v>
      </c>
      <c r="L337" s="4" t="s">
        <v>1631</v>
      </c>
      <c r="M337">
        <f t="shared" si="64"/>
        <v>0</v>
      </c>
      <c r="N337">
        <f t="shared" si="65"/>
        <v>0</v>
      </c>
      <c r="P337" s="4">
        <f t="shared" si="66"/>
        <v>0</v>
      </c>
      <c r="R337">
        <f t="shared" si="67"/>
        <v>0</v>
      </c>
      <c r="U337" s="33" t="str">
        <f t="shared" si="69"/>
        <v/>
      </c>
      <c r="BC337" s="4" t="s">
        <v>462</v>
      </c>
      <c r="BD337" s="4" t="s">
        <v>2188</v>
      </c>
      <c r="BE337" s="4" t="s">
        <v>240</v>
      </c>
      <c r="BL337" s="4" t="s">
        <v>1631</v>
      </c>
      <c r="BM337" s="4" t="s">
        <v>2244</v>
      </c>
    </row>
    <row r="338" spans="4:65" ht="14.5">
      <c r="D338" s="17" t="str">
        <f t="shared" si="68"/>
        <v>EinzelfuttermittelKatzeFette und Öle</v>
      </c>
      <c r="E338" s="4" t="str">
        <f t="shared" si="70"/>
        <v>Einzelfuttermittel</v>
      </c>
      <c r="F338" s="19" t="s">
        <v>90</v>
      </c>
      <c r="G338" s="4" t="s">
        <v>142</v>
      </c>
      <c r="L338" s="4" t="s">
        <v>215</v>
      </c>
      <c r="M338">
        <f t="shared" si="64"/>
        <v>0</v>
      </c>
      <c r="N338">
        <f t="shared" si="65"/>
        <v>0</v>
      </c>
      <c r="P338" s="4">
        <f t="shared" si="66"/>
        <v>0</v>
      </c>
      <c r="R338">
        <f t="shared" si="67"/>
        <v>0</v>
      </c>
      <c r="U338" s="33" t="str">
        <f t="shared" si="69"/>
        <v/>
      </c>
      <c r="BA338" s="4">
        <v>35</v>
      </c>
      <c r="BC338" s="4" t="s">
        <v>215</v>
      </c>
      <c r="BD338" s="4" t="s">
        <v>2188</v>
      </c>
      <c r="BE338" s="4" t="s">
        <v>240</v>
      </c>
      <c r="BL338" s="4" t="s">
        <v>943</v>
      </c>
      <c r="BM338" s="4" t="s">
        <v>2245</v>
      </c>
    </row>
    <row r="339" spans="4:65" ht="14.5">
      <c r="D339" s="17" t="str">
        <f t="shared" si="68"/>
        <v>EinzelfuttermittelKatzeFette und Öle</v>
      </c>
      <c r="E339" s="4" t="str">
        <f t="shared" si="70"/>
        <v>Einzelfuttermittel</v>
      </c>
      <c r="F339" s="19" t="s">
        <v>90</v>
      </c>
      <c r="G339" s="4" t="s">
        <v>142</v>
      </c>
      <c r="L339" s="4" t="s">
        <v>288</v>
      </c>
      <c r="M339">
        <f t="shared" si="64"/>
        <v>0</v>
      </c>
      <c r="N339">
        <f t="shared" si="65"/>
        <v>0</v>
      </c>
      <c r="P339" s="4">
        <f t="shared" si="66"/>
        <v>99.5</v>
      </c>
      <c r="R339">
        <f t="shared" si="67"/>
        <v>0</v>
      </c>
      <c r="U339" s="33" t="str">
        <f t="shared" si="69"/>
        <v/>
      </c>
      <c r="BA339" s="4">
        <v>27.8</v>
      </c>
      <c r="BC339" s="4" t="s">
        <v>2246</v>
      </c>
      <c r="BD339" s="4" t="s">
        <v>2188</v>
      </c>
      <c r="BE339" s="4" t="s">
        <v>240</v>
      </c>
      <c r="BI339" s="4">
        <v>99.5</v>
      </c>
      <c r="BL339" s="4" t="s">
        <v>2247</v>
      </c>
      <c r="BM339" s="4" t="s">
        <v>2248</v>
      </c>
    </row>
    <row r="340" spans="4:65" ht="14.5">
      <c r="D340" s="17" t="str">
        <f t="shared" si="68"/>
        <v>EinzelfuttermittelKatzeFette und Öle</v>
      </c>
      <c r="E340" s="4" t="str">
        <f t="shared" si="70"/>
        <v>Einzelfuttermittel</v>
      </c>
      <c r="F340" s="19" t="s">
        <v>90</v>
      </c>
      <c r="G340" s="4" t="s">
        <v>142</v>
      </c>
      <c r="L340" s="4" t="s">
        <v>3212</v>
      </c>
      <c r="M340">
        <f t="shared" si="64"/>
        <v>0</v>
      </c>
      <c r="N340">
        <f t="shared" si="65"/>
        <v>0</v>
      </c>
      <c r="P340" s="4">
        <f t="shared" si="66"/>
        <v>100</v>
      </c>
      <c r="R340">
        <f t="shared" si="67"/>
        <v>0</v>
      </c>
      <c r="U340" s="33" t="str">
        <f t="shared" si="69"/>
        <v/>
      </c>
      <c r="BA340" s="4">
        <v>44.8</v>
      </c>
      <c r="BB340" s="4">
        <v>0.2</v>
      </c>
      <c r="BC340" s="4" t="s">
        <v>430</v>
      </c>
      <c r="BD340" s="4" t="s">
        <v>2322</v>
      </c>
      <c r="BE340" s="4" t="s">
        <v>240</v>
      </c>
      <c r="BI340" s="4">
        <v>100</v>
      </c>
      <c r="BL340" s="4" t="s">
        <v>2344</v>
      </c>
      <c r="BM340" s="4" t="s">
        <v>2343</v>
      </c>
    </row>
    <row r="341" spans="4:65" ht="14.5">
      <c r="D341" s="17" t="str">
        <f t="shared" si="68"/>
        <v>EinzelfuttermittelKatzeFette und Öle</v>
      </c>
      <c r="E341" s="4" t="str">
        <f t="shared" si="70"/>
        <v>Einzelfuttermittel</v>
      </c>
      <c r="F341" s="19" t="s">
        <v>90</v>
      </c>
      <c r="G341" s="4" t="s">
        <v>142</v>
      </c>
      <c r="L341" s="4" t="s">
        <v>293</v>
      </c>
      <c r="M341">
        <f t="shared" si="64"/>
        <v>0</v>
      </c>
      <c r="N341">
        <f t="shared" si="65"/>
        <v>0</v>
      </c>
      <c r="P341" s="4">
        <f t="shared" si="66"/>
        <v>94</v>
      </c>
      <c r="R341">
        <f t="shared" si="67"/>
        <v>0</v>
      </c>
      <c r="U341" s="33" t="str">
        <f t="shared" si="69"/>
        <v/>
      </c>
      <c r="BA341" s="4">
        <v>47.52</v>
      </c>
      <c r="BB341" s="4">
        <v>1.75</v>
      </c>
      <c r="BC341" s="4" t="s">
        <v>1000</v>
      </c>
      <c r="BD341" s="4" t="s">
        <v>2322</v>
      </c>
      <c r="BE341" s="4" t="s">
        <v>240</v>
      </c>
      <c r="BI341" s="4">
        <v>94</v>
      </c>
      <c r="BL341" s="4" t="s">
        <v>2346</v>
      </c>
      <c r="BM341" s="4" t="s">
        <v>2345</v>
      </c>
    </row>
    <row r="342" spans="4:65" ht="14.5">
      <c r="D342" s="17" t="str">
        <f t="shared" si="68"/>
        <v>EinzelfuttermittelKatzeFette und Öle</v>
      </c>
      <c r="E342" s="4" t="str">
        <f t="shared" si="70"/>
        <v>Einzelfuttermittel</v>
      </c>
      <c r="F342" s="19" t="s">
        <v>90</v>
      </c>
      <c r="G342" s="4" t="s">
        <v>142</v>
      </c>
      <c r="L342" s="4" t="s">
        <v>215</v>
      </c>
      <c r="M342">
        <f t="shared" si="64"/>
        <v>0</v>
      </c>
      <c r="N342">
        <f t="shared" si="65"/>
        <v>0</v>
      </c>
      <c r="P342" s="4">
        <f t="shared" si="66"/>
        <v>99.5</v>
      </c>
      <c r="R342">
        <f t="shared" si="67"/>
        <v>0</v>
      </c>
      <c r="U342" s="33" t="str">
        <f t="shared" si="69"/>
        <v/>
      </c>
      <c r="BA342" s="4">
        <v>101.8</v>
      </c>
      <c r="BB342" s="4">
        <v>2</v>
      </c>
      <c r="BC342" s="4" t="s">
        <v>2358</v>
      </c>
      <c r="BD342" s="4" t="s">
        <v>2322</v>
      </c>
      <c r="BE342" s="4" t="s">
        <v>240</v>
      </c>
      <c r="BI342" s="4">
        <v>99.5</v>
      </c>
      <c r="BL342" s="4" t="s">
        <v>215</v>
      </c>
      <c r="BM342" s="4" t="s">
        <v>2359</v>
      </c>
    </row>
    <row r="343" spans="4:65" ht="14.5">
      <c r="D343" s="17" t="str">
        <f t="shared" si="68"/>
        <v>EinzelfuttermittelKatzeFette und Öle</v>
      </c>
      <c r="E343" s="4" t="str">
        <f t="shared" si="70"/>
        <v>Einzelfuttermittel</v>
      </c>
      <c r="F343" s="19" t="s">
        <v>90</v>
      </c>
      <c r="G343" s="4" t="s">
        <v>142</v>
      </c>
      <c r="L343" s="4" t="s">
        <v>288</v>
      </c>
      <c r="M343">
        <f t="shared" si="64"/>
        <v>0</v>
      </c>
      <c r="N343">
        <f t="shared" si="65"/>
        <v>0</v>
      </c>
      <c r="P343" s="4">
        <f t="shared" si="66"/>
        <v>0</v>
      </c>
      <c r="R343">
        <f t="shared" si="67"/>
        <v>0</v>
      </c>
      <c r="U343" s="33" t="str">
        <f t="shared" si="69"/>
        <v/>
      </c>
      <c r="BA343" s="4">
        <v>16.899999999999999</v>
      </c>
      <c r="BC343" s="4" t="s">
        <v>288</v>
      </c>
      <c r="BD343" s="4" t="s">
        <v>2688</v>
      </c>
      <c r="BE343" s="4" t="s">
        <v>240</v>
      </c>
      <c r="BL343" s="4" t="s">
        <v>905</v>
      </c>
      <c r="BM343" s="4" t="s">
        <v>2691</v>
      </c>
    </row>
    <row r="344" spans="4:65" ht="14.5">
      <c r="D344" s="17" t="str">
        <f t="shared" si="68"/>
        <v>EinzelfuttermittelKatzeFette und Öle</v>
      </c>
      <c r="E344" s="4" t="str">
        <f t="shared" si="70"/>
        <v>Einzelfuttermittel</v>
      </c>
      <c r="F344" s="19" t="s">
        <v>90</v>
      </c>
      <c r="G344" s="4" t="s">
        <v>142</v>
      </c>
      <c r="L344" s="4" t="s">
        <v>3211</v>
      </c>
      <c r="M344">
        <f t="shared" si="64"/>
        <v>0</v>
      </c>
      <c r="N344">
        <f t="shared" si="65"/>
        <v>0</v>
      </c>
      <c r="P344" s="4">
        <f t="shared" si="66"/>
        <v>0</v>
      </c>
      <c r="R344">
        <f t="shared" si="67"/>
        <v>0</v>
      </c>
      <c r="U344" s="33" t="str">
        <f t="shared" si="69"/>
        <v/>
      </c>
      <c r="BA344" s="4">
        <v>47.96</v>
      </c>
      <c r="BC344" s="4" t="s">
        <v>468</v>
      </c>
      <c r="BD344" s="4" t="s">
        <v>2688</v>
      </c>
      <c r="BE344" s="4" t="s">
        <v>240</v>
      </c>
      <c r="BL344" s="4" t="s">
        <v>950</v>
      </c>
      <c r="BM344" s="4" t="s">
        <v>2692</v>
      </c>
    </row>
    <row r="345" spans="4:65" ht="14.5">
      <c r="D345" s="17" t="str">
        <f t="shared" si="68"/>
        <v>EinzelfuttermittelKatzeFette und Öle</v>
      </c>
      <c r="E345" s="4" t="str">
        <f t="shared" si="70"/>
        <v>Einzelfuttermittel</v>
      </c>
      <c r="F345" s="19" t="s">
        <v>90</v>
      </c>
      <c r="G345" s="4" t="s">
        <v>142</v>
      </c>
      <c r="L345" s="4" t="s">
        <v>2693</v>
      </c>
      <c r="M345">
        <f t="shared" si="64"/>
        <v>0</v>
      </c>
      <c r="N345">
        <f t="shared" si="65"/>
        <v>0</v>
      </c>
      <c r="P345" s="4">
        <f t="shared" si="66"/>
        <v>0</v>
      </c>
      <c r="R345">
        <f t="shared" si="67"/>
        <v>0</v>
      </c>
      <c r="U345" s="33" t="str">
        <f t="shared" si="69"/>
        <v/>
      </c>
      <c r="BA345" s="4">
        <v>45.8</v>
      </c>
      <c r="BC345" s="4" t="s">
        <v>2693</v>
      </c>
      <c r="BD345" s="4" t="s">
        <v>2688</v>
      </c>
      <c r="BE345" s="4" t="s">
        <v>240</v>
      </c>
      <c r="BL345" s="4" t="s">
        <v>2695</v>
      </c>
      <c r="BM345" s="4" t="s">
        <v>2694</v>
      </c>
    </row>
    <row r="346" spans="4:65" ht="14.5">
      <c r="D346" s="17" t="str">
        <f t="shared" si="68"/>
        <v>EinzelfuttermittelKatzeFette und Öle</v>
      </c>
      <c r="E346" s="4" t="str">
        <f t="shared" si="70"/>
        <v>Einzelfuttermittel</v>
      </c>
      <c r="F346" s="19" t="s">
        <v>90</v>
      </c>
      <c r="G346" s="4" t="s">
        <v>142</v>
      </c>
      <c r="L346" s="4" t="s">
        <v>293</v>
      </c>
      <c r="M346">
        <f t="shared" ref="M346:M364" si="71">BF346</f>
        <v>0</v>
      </c>
      <c r="N346">
        <f t="shared" ref="N346:N364" si="72">BG346</f>
        <v>0</v>
      </c>
      <c r="P346" s="4">
        <f t="shared" ref="P346:P364" si="73">BI346</f>
        <v>0</v>
      </c>
      <c r="R346">
        <f t="shared" ref="R346:R364" si="74">BK346</f>
        <v>0</v>
      </c>
      <c r="U346" s="33" t="str">
        <f t="shared" si="69"/>
        <v/>
      </c>
      <c r="BA346" s="4">
        <v>35.799999999999997</v>
      </c>
      <c r="BC346" s="4" t="s">
        <v>293</v>
      </c>
      <c r="BD346" s="4" t="s">
        <v>2688</v>
      </c>
      <c r="BE346" s="4" t="s">
        <v>240</v>
      </c>
      <c r="BL346" s="4" t="s">
        <v>2697</v>
      </c>
      <c r="BM346" s="4" t="s">
        <v>2696</v>
      </c>
    </row>
    <row r="347" spans="4:65" ht="14.5">
      <c r="D347" s="17" t="str">
        <f t="shared" si="68"/>
        <v>EinzelfuttermittelKatzeFette und Öle</v>
      </c>
      <c r="E347" s="4" t="str">
        <f t="shared" si="70"/>
        <v>Einzelfuttermittel</v>
      </c>
      <c r="F347" s="19" t="s">
        <v>90</v>
      </c>
      <c r="G347" s="4" t="s">
        <v>142</v>
      </c>
      <c r="L347" s="4" t="s">
        <v>1644</v>
      </c>
      <c r="M347">
        <f t="shared" si="71"/>
        <v>0</v>
      </c>
      <c r="N347">
        <f t="shared" si="72"/>
        <v>0</v>
      </c>
      <c r="P347" s="4">
        <f t="shared" si="73"/>
        <v>0</v>
      </c>
      <c r="R347">
        <f t="shared" si="74"/>
        <v>0</v>
      </c>
      <c r="U347" s="33" t="str">
        <f t="shared" si="69"/>
        <v/>
      </c>
      <c r="BA347" s="4">
        <v>65.8</v>
      </c>
      <c r="BC347" s="4" t="s">
        <v>1644</v>
      </c>
      <c r="BD347" s="4" t="s">
        <v>2688</v>
      </c>
      <c r="BE347" s="4" t="s">
        <v>240</v>
      </c>
      <c r="BL347" s="4" t="s">
        <v>2699</v>
      </c>
      <c r="BM347" s="4" t="s">
        <v>2698</v>
      </c>
    </row>
    <row r="348" spans="4:65" ht="17">
      <c r="D348" s="17" t="str">
        <f t="shared" si="68"/>
        <v>EinzelfuttermittelKatzeFette und Öle</v>
      </c>
      <c r="E348" s="4" t="str">
        <f t="shared" si="70"/>
        <v>Einzelfuttermittel</v>
      </c>
      <c r="F348" s="19" t="s">
        <v>90</v>
      </c>
      <c r="G348" s="4" t="s">
        <v>142</v>
      </c>
      <c r="L348" s="4" t="s">
        <v>3211</v>
      </c>
      <c r="M348">
        <f t="shared" si="71"/>
        <v>0</v>
      </c>
      <c r="N348">
        <f t="shared" si="72"/>
        <v>0</v>
      </c>
      <c r="P348" s="4">
        <f t="shared" si="73"/>
        <v>100</v>
      </c>
      <c r="R348">
        <f t="shared" si="74"/>
        <v>0</v>
      </c>
      <c r="U348" s="33" t="str">
        <f t="shared" si="69"/>
        <v/>
      </c>
      <c r="BA348" s="4">
        <v>51.6</v>
      </c>
      <c r="BC348" s="4" t="s">
        <v>468</v>
      </c>
      <c r="BD348" s="4" t="s">
        <v>2751</v>
      </c>
      <c r="BE348" s="4" t="s">
        <v>240</v>
      </c>
      <c r="BI348" s="4">
        <v>100</v>
      </c>
      <c r="BL348" s="4" t="s">
        <v>2767</v>
      </c>
      <c r="BM348" s="4" t="s">
        <v>2768</v>
      </c>
    </row>
    <row r="349" spans="4:65" ht="14.5">
      <c r="D349" s="17" t="str">
        <f t="shared" si="68"/>
        <v>EinzelfuttermittelKatzeFette und Öle</v>
      </c>
      <c r="E349" s="4" t="str">
        <f t="shared" si="70"/>
        <v>Einzelfuttermittel</v>
      </c>
      <c r="F349" s="19" t="s">
        <v>90</v>
      </c>
      <c r="G349" s="32" t="s">
        <v>142</v>
      </c>
      <c r="L349" s="4" t="s">
        <v>1271</v>
      </c>
      <c r="M349">
        <f t="shared" si="71"/>
        <v>0</v>
      </c>
      <c r="N349">
        <f t="shared" si="72"/>
        <v>21</v>
      </c>
      <c r="P349">
        <f t="shared" si="73"/>
        <v>72</v>
      </c>
      <c r="R349">
        <f t="shared" si="74"/>
        <v>0</v>
      </c>
      <c r="U349" s="33" t="str">
        <f t="shared" si="69"/>
        <v/>
      </c>
      <c r="BA349" s="4">
        <v>57.96</v>
      </c>
      <c r="BB349" s="4">
        <v>1.25</v>
      </c>
      <c r="BC349" s="4" t="s">
        <v>744</v>
      </c>
      <c r="BD349" s="4" t="s">
        <v>703</v>
      </c>
      <c r="BE349" s="4" t="s">
        <v>240</v>
      </c>
      <c r="BG349" s="4">
        <v>21</v>
      </c>
      <c r="BI349" s="4">
        <v>72</v>
      </c>
      <c r="BL349" s="4" t="s">
        <v>742</v>
      </c>
      <c r="BM349" s="4" t="s">
        <v>743</v>
      </c>
    </row>
    <row r="350" spans="4:65">
      <c r="D350" s="17" t="str">
        <f t="shared" ref="D350:D364" si="75">E350&amp;""&amp;F350&amp;""&amp;G350&amp;""&amp;H350</f>
        <v>EinzelfuttermittelKatzeFette und Öle</v>
      </c>
      <c r="E350" s="4" t="str">
        <f t="shared" si="70"/>
        <v>Einzelfuttermittel</v>
      </c>
      <c r="F350" s="19" t="s">
        <v>90</v>
      </c>
      <c r="G350" s="32" t="s">
        <v>142</v>
      </c>
      <c r="L350" s="4" t="s">
        <v>1271</v>
      </c>
      <c r="M350" s="4">
        <f t="shared" si="71"/>
        <v>0</v>
      </c>
      <c r="N350" s="4">
        <f t="shared" si="72"/>
        <v>21</v>
      </c>
      <c r="P350" s="4">
        <f t="shared" si="73"/>
        <v>72</v>
      </c>
      <c r="R350" s="4">
        <f t="shared" si="74"/>
        <v>0</v>
      </c>
      <c r="U350" s="33" t="str">
        <f t="shared" si="69"/>
        <v/>
      </c>
      <c r="BA350" s="4">
        <v>55.6</v>
      </c>
      <c r="BB350" s="4">
        <v>1.25</v>
      </c>
      <c r="BC350" s="4" t="s">
        <v>213</v>
      </c>
      <c r="BD350" s="4" t="s">
        <v>1826</v>
      </c>
      <c r="BE350" s="4" t="s">
        <v>240</v>
      </c>
      <c r="BG350" s="4">
        <v>21</v>
      </c>
      <c r="BI350" s="4">
        <v>72</v>
      </c>
      <c r="BL350" s="4" t="s">
        <v>1921</v>
      </c>
      <c r="BM350" s="4" t="s">
        <v>1920</v>
      </c>
    </row>
    <row r="351" spans="4:65" ht="14.5">
      <c r="D351" s="17" t="str">
        <f t="shared" si="75"/>
        <v>EinzelfuttermittelKatzeFette und Öle</v>
      </c>
      <c r="E351" s="4" t="str">
        <f t="shared" si="70"/>
        <v>Einzelfuttermittel</v>
      </c>
      <c r="F351" s="19" t="s">
        <v>90</v>
      </c>
      <c r="G351" s="4" t="s">
        <v>142</v>
      </c>
      <c r="L351" s="4" t="s">
        <v>1631</v>
      </c>
      <c r="M351">
        <f t="shared" si="71"/>
        <v>0</v>
      </c>
      <c r="N351">
        <f t="shared" si="72"/>
        <v>0</v>
      </c>
      <c r="P351">
        <f t="shared" si="73"/>
        <v>0</v>
      </c>
      <c r="Q351"/>
      <c r="R351">
        <f t="shared" si="74"/>
        <v>0</v>
      </c>
      <c r="U351" s="33" t="str">
        <f t="shared" si="69"/>
        <v/>
      </c>
      <c r="BA351" s="21">
        <v>830</v>
      </c>
      <c r="BC351" s="4" t="s">
        <v>462</v>
      </c>
      <c r="BD351" s="4" t="s">
        <v>431</v>
      </c>
      <c r="BE351" s="4" t="s">
        <v>240</v>
      </c>
      <c r="BL351" s="4" t="s">
        <v>464</v>
      </c>
      <c r="BM351" s="4" t="s">
        <v>463</v>
      </c>
    </row>
    <row r="352" spans="4:65" ht="14.5">
      <c r="D352" s="17" t="str">
        <f t="shared" si="75"/>
        <v>EinzelfuttermittelKatzeFette und Öle</v>
      </c>
      <c r="E352" s="4" t="s">
        <v>240</v>
      </c>
      <c r="F352" s="19" t="s">
        <v>90</v>
      </c>
      <c r="G352" s="4" t="s">
        <v>142</v>
      </c>
      <c r="L352" s="4" t="s">
        <v>215</v>
      </c>
      <c r="M352">
        <f t="shared" si="71"/>
        <v>0.4</v>
      </c>
      <c r="N352">
        <f t="shared" si="72"/>
        <v>22</v>
      </c>
      <c r="P352">
        <f t="shared" si="73"/>
        <v>58</v>
      </c>
      <c r="R352">
        <f t="shared" si="74"/>
        <v>0.2</v>
      </c>
      <c r="U352" s="33" t="str">
        <f t="shared" si="69"/>
        <v/>
      </c>
      <c r="BA352" s="4">
        <v>88.61</v>
      </c>
      <c r="BB352" s="4">
        <v>0.5</v>
      </c>
      <c r="BC352" s="4" t="s">
        <v>340</v>
      </c>
      <c r="BD352" s="4" t="s">
        <v>269</v>
      </c>
      <c r="BE352" s="4" t="s">
        <v>240</v>
      </c>
      <c r="BF352" s="4">
        <v>0.4</v>
      </c>
      <c r="BG352" s="4">
        <v>22</v>
      </c>
      <c r="BI352" s="4">
        <v>58</v>
      </c>
      <c r="BK352" s="4">
        <v>0.2</v>
      </c>
      <c r="BL352" s="4" t="s">
        <v>342</v>
      </c>
      <c r="BM352" s="4" t="s">
        <v>341</v>
      </c>
    </row>
    <row r="353" spans="4:65" ht="14.5">
      <c r="D353" s="17" t="str">
        <f t="shared" si="75"/>
        <v>EinzelfuttermittelKatzeEi- und Milchprodukte</v>
      </c>
      <c r="E353" s="4" t="s">
        <v>240</v>
      </c>
      <c r="F353" s="19" t="s">
        <v>90</v>
      </c>
      <c r="G353" s="4" t="s">
        <v>2856</v>
      </c>
      <c r="L353" s="4" t="s">
        <v>2873</v>
      </c>
      <c r="M353">
        <f t="shared" si="71"/>
        <v>0</v>
      </c>
      <c r="N353">
        <f t="shared" si="72"/>
        <v>67.400000000000006</v>
      </c>
      <c r="P353">
        <f t="shared" si="73"/>
        <v>0</v>
      </c>
      <c r="R353">
        <f t="shared" si="74"/>
        <v>0</v>
      </c>
      <c r="U353" s="33" t="str">
        <f t="shared" si="69"/>
        <v/>
      </c>
      <c r="BA353" s="4">
        <v>319.89999999999998</v>
      </c>
      <c r="BB353" s="4">
        <v>1</v>
      </c>
      <c r="BC353" s="4" t="s">
        <v>364</v>
      </c>
      <c r="BD353" s="4" t="s">
        <v>269</v>
      </c>
      <c r="BE353" s="4" t="s">
        <v>240</v>
      </c>
      <c r="BG353" s="4">
        <v>67.400000000000006</v>
      </c>
      <c r="BL353" s="4" t="s">
        <v>366</v>
      </c>
      <c r="BM353" s="4" t="s">
        <v>365</v>
      </c>
    </row>
    <row r="354" spans="4:65" ht="14.5">
      <c r="D354" s="17" t="str">
        <f t="shared" si="75"/>
        <v>EinzelfuttermittelKatzeGemüse, Obst und Faserstoffe</v>
      </c>
      <c r="E354" s="4" t="s">
        <v>240</v>
      </c>
      <c r="F354" s="19" t="s">
        <v>90</v>
      </c>
      <c r="G354" s="4" t="s">
        <v>2855</v>
      </c>
      <c r="L354" s="4" t="s">
        <v>2875</v>
      </c>
      <c r="M354">
        <f t="shared" si="71"/>
        <v>3.8</v>
      </c>
      <c r="N354">
        <f t="shared" si="72"/>
        <v>11</v>
      </c>
      <c r="P354">
        <f t="shared" si="73"/>
        <v>42.7</v>
      </c>
      <c r="R354">
        <f t="shared" si="74"/>
        <v>5.6</v>
      </c>
      <c r="U354" s="33" t="str">
        <f t="shared" si="69"/>
        <v/>
      </c>
      <c r="BA354" s="4">
        <v>999.5</v>
      </c>
      <c r="BB354" s="4">
        <v>7.4999999999999997E-2</v>
      </c>
      <c r="BC354" s="4" t="s">
        <v>367</v>
      </c>
      <c r="BD354" s="4" t="s">
        <v>269</v>
      </c>
      <c r="BE354" s="4" t="s">
        <v>240</v>
      </c>
      <c r="BF354" s="4">
        <v>3.8</v>
      </c>
      <c r="BG354" s="4">
        <v>11</v>
      </c>
      <c r="BI354" s="4">
        <v>42.7</v>
      </c>
      <c r="BK354" s="4">
        <v>5.6</v>
      </c>
      <c r="BL354" s="4" t="s">
        <v>369</v>
      </c>
      <c r="BM354" s="4" t="s">
        <v>368</v>
      </c>
    </row>
    <row r="355" spans="4:65" ht="14.5">
      <c r="D355" s="17" t="str">
        <f t="shared" si="75"/>
        <v>EinzelfuttermittelKatzeFette und Öle</v>
      </c>
      <c r="E355" s="4" t="s">
        <v>240</v>
      </c>
      <c r="F355" s="19" t="s">
        <v>90</v>
      </c>
      <c r="G355" s="4" t="s">
        <v>142</v>
      </c>
      <c r="L355" s="4" t="s">
        <v>215</v>
      </c>
      <c r="M355">
        <f t="shared" si="71"/>
        <v>0.5</v>
      </c>
      <c r="N355">
        <f t="shared" si="72"/>
        <v>23.8</v>
      </c>
      <c r="P355">
        <f t="shared" si="73"/>
        <v>67.7</v>
      </c>
      <c r="R355">
        <f t="shared" si="74"/>
        <v>0</v>
      </c>
      <c r="U355" s="33" t="str">
        <f t="shared" si="69"/>
        <v/>
      </c>
      <c r="BC355" s="4" t="s">
        <v>340</v>
      </c>
      <c r="BD355" s="4" t="s">
        <v>371</v>
      </c>
      <c r="BE355" s="4" t="s">
        <v>240</v>
      </c>
      <c r="BF355" s="4">
        <v>0.5</v>
      </c>
      <c r="BG355" s="4">
        <v>23.8</v>
      </c>
      <c r="BI355" s="4">
        <v>67.7</v>
      </c>
      <c r="BK355" s="4">
        <v>0</v>
      </c>
      <c r="BL355" s="4" t="s">
        <v>419</v>
      </c>
      <c r="BM355" s="4" t="s">
        <v>418</v>
      </c>
    </row>
    <row r="356" spans="4:65" ht="14.5">
      <c r="D356" s="17" t="str">
        <f t="shared" si="75"/>
        <v>EinzelfuttermittelKatzeFette und Öle</v>
      </c>
      <c r="E356" s="4" t="s">
        <v>240</v>
      </c>
      <c r="F356" s="19" t="s">
        <v>90</v>
      </c>
      <c r="G356" s="4" t="s">
        <v>142</v>
      </c>
      <c r="L356" s="4" t="s">
        <v>1271</v>
      </c>
      <c r="M356">
        <f t="shared" si="71"/>
        <v>2</v>
      </c>
      <c r="N356">
        <f t="shared" si="72"/>
        <v>3</v>
      </c>
      <c r="O356"/>
      <c r="P356">
        <f t="shared" si="73"/>
        <v>80</v>
      </c>
      <c r="Q356"/>
      <c r="R356">
        <f t="shared" si="74"/>
        <v>0</v>
      </c>
      <c r="U356" s="33" t="str">
        <f t="shared" si="69"/>
        <v/>
      </c>
      <c r="AF356" s="4">
        <f>AG356*EFM!$BO$13</f>
        <v>0</v>
      </c>
      <c r="AL356" s="4">
        <f>AK356*EFM!$BO$14</f>
        <v>0</v>
      </c>
      <c r="BA356" s="4">
        <v>29.6</v>
      </c>
      <c r="BB356" s="4">
        <v>1.5</v>
      </c>
      <c r="BC356" s="4" t="s">
        <v>210</v>
      </c>
      <c r="BD356" s="4" t="s">
        <v>214</v>
      </c>
      <c r="BE356" s="4" t="s">
        <v>240</v>
      </c>
      <c r="BF356" s="4">
        <v>2</v>
      </c>
      <c r="BG356" s="4">
        <v>3</v>
      </c>
      <c r="BI356" s="4">
        <v>80</v>
      </c>
      <c r="BJ356" s="4">
        <f>100-(BF356+BG356+BI356)</f>
        <v>15</v>
      </c>
      <c r="BL356" s="4" t="s">
        <v>212</v>
      </c>
      <c r="BM356" s="4" t="s">
        <v>211</v>
      </c>
    </row>
    <row r="357" spans="4:65">
      <c r="D357" s="17" t="str">
        <f t="shared" si="75"/>
        <v>EinzelfuttermittelKatzeInnereien, TNPs, Schlachtabfälle und Tiermehle</v>
      </c>
      <c r="E357" s="4" t="s">
        <v>240</v>
      </c>
      <c r="F357" s="19" t="s">
        <v>90</v>
      </c>
      <c r="G357" s="4" t="s">
        <v>2852</v>
      </c>
      <c r="L357" s="27" t="s">
        <v>1010</v>
      </c>
      <c r="M357" s="4">
        <f t="shared" si="71"/>
        <v>34</v>
      </c>
      <c r="N357" s="4">
        <f t="shared" si="72"/>
        <v>25.9</v>
      </c>
      <c r="P357" s="4">
        <f t="shared" si="73"/>
        <v>0.1</v>
      </c>
      <c r="R357" s="4">
        <f t="shared" si="74"/>
        <v>1.6</v>
      </c>
      <c r="U357" s="33" t="str">
        <f t="shared" si="69"/>
        <v/>
      </c>
      <c r="V357" s="4">
        <v>200</v>
      </c>
      <c r="AF357" s="4">
        <f>AG357*EFM!$BO$13</f>
        <v>0</v>
      </c>
      <c r="AL357" s="4">
        <f>AK357*EFM!$BO$14</f>
        <v>0</v>
      </c>
      <c r="BA357" s="4">
        <v>155.6</v>
      </c>
      <c r="BB357" s="4">
        <v>0.75</v>
      </c>
      <c r="BC357" s="4" t="s">
        <v>1011</v>
      </c>
      <c r="BD357" s="4" t="s">
        <v>997</v>
      </c>
      <c r="BE357" s="4" t="s">
        <v>240</v>
      </c>
      <c r="BF357" s="4">
        <v>34</v>
      </c>
      <c r="BG357" s="4">
        <v>25.9</v>
      </c>
      <c r="BI357" s="4">
        <v>0.1</v>
      </c>
      <c r="BK357" s="4">
        <v>1.6</v>
      </c>
      <c r="BL357" s="4" t="s">
        <v>1013</v>
      </c>
      <c r="BM357" s="4" t="s">
        <v>1012</v>
      </c>
    </row>
    <row r="358" spans="4:65">
      <c r="D358" s="17" t="str">
        <f t="shared" si="75"/>
        <v>EinzelfuttermittelKatzeInnereien, TNPs, Schlachtabfälle und Tiermehle</v>
      </c>
      <c r="E358" s="4" t="s">
        <v>240</v>
      </c>
      <c r="F358" s="19" t="s">
        <v>90</v>
      </c>
      <c r="G358" s="4" t="s">
        <v>2852</v>
      </c>
      <c r="L358" s="4" t="s">
        <v>2894</v>
      </c>
      <c r="M358" s="4">
        <f t="shared" si="71"/>
        <v>1.9</v>
      </c>
      <c r="N358" s="4">
        <f t="shared" si="72"/>
        <v>67.900000000000006</v>
      </c>
      <c r="P358" s="4">
        <f t="shared" si="73"/>
        <v>0</v>
      </c>
      <c r="R358" s="4">
        <f t="shared" si="74"/>
        <v>1.7</v>
      </c>
      <c r="U358" s="33" t="str">
        <f t="shared" si="69"/>
        <v/>
      </c>
      <c r="W358" s="4">
        <v>700</v>
      </c>
      <c r="AF358" s="4">
        <f>AG358*EFM!$BO$13</f>
        <v>0</v>
      </c>
      <c r="AL358" s="4">
        <f>AK358*EFM!$BO$14</f>
        <v>0</v>
      </c>
      <c r="BA358" s="4">
        <v>111.6</v>
      </c>
      <c r="BB358" s="4">
        <v>0.38</v>
      </c>
      <c r="BC358" s="4" t="s">
        <v>1019</v>
      </c>
      <c r="BD358" s="4" t="s">
        <v>997</v>
      </c>
      <c r="BE358" s="4" t="s">
        <v>240</v>
      </c>
      <c r="BF358" s="4">
        <v>1.9</v>
      </c>
      <c r="BG358" s="4">
        <v>67.900000000000006</v>
      </c>
      <c r="BI358" s="4">
        <v>0</v>
      </c>
      <c r="BK358" s="4">
        <v>1.7</v>
      </c>
      <c r="BL358" s="4" t="s">
        <v>1021</v>
      </c>
      <c r="BM358" s="4" t="s">
        <v>1020</v>
      </c>
    </row>
    <row r="359" spans="4:65" ht="15.5">
      <c r="D359" s="17" t="str">
        <f t="shared" si="75"/>
        <v>EinzelfuttermittelKatzeFette und Öle</v>
      </c>
      <c r="E359" s="4" t="s">
        <v>240</v>
      </c>
      <c r="F359" s="19" t="s">
        <v>90</v>
      </c>
      <c r="G359" s="4" t="s">
        <v>142</v>
      </c>
      <c r="L359" s="4" t="s">
        <v>278</v>
      </c>
      <c r="M359" s="4">
        <f t="shared" si="71"/>
        <v>0</v>
      </c>
      <c r="N359" s="4">
        <f t="shared" si="72"/>
        <v>0</v>
      </c>
      <c r="P359" s="4">
        <f t="shared" si="73"/>
        <v>84.5</v>
      </c>
      <c r="R359" s="4">
        <f t="shared" si="74"/>
        <v>15.5</v>
      </c>
      <c r="U359" s="33" t="str">
        <f t="shared" si="69"/>
        <v/>
      </c>
      <c r="BA359" s="4">
        <v>517.30999999999995</v>
      </c>
      <c r="BC359" s="4" t="s">
        <v>1025</v>
      </c>
      <c r="BD359" s="4" t="s">
        <v>997</v>
      </c>
      <c r="BE359" s="4" t="s">
        <v>240</v>
      </c>
      <c r="BF359" s="4">
        <v>0</v>
      </c>
      <c r="BG359" s="4">
        <v>0</v>
      </c>
      <c r="BI359" s="4">
        <v>84.5</v>
      </c>
      <c r="BK359" s="4">
        <v>15.5</v>
      </c>
      <c r="BL359" s="4" t="s">
        <v>1027</v>
      </c>
      <c r="BM359" s="4" t="s">
        <v>1026</v>
      </c>
    </row>
    <row r="360" spans="4:65">
      <c r="D360" s="17" t="str">
        <f t="shared" si="75"/>
        <v>EinzelfuttermittelKatzeGemüse, Obst und Faserstoffe</v>
      </c>
      <c r="E360" s="4" t="s">
        <v>240</v>
      </c>
      <c r="F360" s="19" t="s">
        <v>90</v>
      </c>
      <c r="G360" s="4" t="s">
        <v>2855</v>
      </c>
      <c r="L360" s="4" t="s">
        <v>2867</v>
      </c>
      <c r="M360" s="4">
        <f t="shared" si="71"/>
        <v>9.4</v>
      </c>
      <c r="N360" s="4">
        <f t="shared" si="72"/>
        <v>45.8</v>
      </c>
      <c r="P360" s="4">
        <f t="shared" si="73"/>
        <v>5.2</v>
      </c>
      <c r="R360" s="4">
        <f t="shared" si="74"/>
        <v>0.3</v>
      </c>
      <c r="U360" s="33" t="str">
        <f t="shared" si="69"/>
        <v/>
      </c>
      <c r="AS360" s="4">
        <v>10000</v>
      </c>
      <c r="BA360" s="4">
        <v>149.80000000000001</v>
      </c>
      <c r="BB360" s="4">
        <v>2</v>
      </c>
      <c r="BC360" s="4" t="s">
        <v>803</v>
      </c>
      <c r="BD360" s="4" t="s">
        <v>703</v>
      </c>
      <c r="BE360" s="4" t="s">
        <v>240</v>
      </c>
      <c r="BF360" s="4">
        <v>9.4</v>
      </c>
      <c r="BG360" s="4">
        <v>45.8</v>
      </c>
      <c r="BI360" s="4">
        <v>5.2</v>
      </c>
      <c r="BK360" s="4">
        <v>0.3</v>
      </c>
      <c r="BL360" s="4" t="s">
        <v>801</v>
      </c>
      <c r="BM360" s="4" t="s">
        <v>802</v>
      </c>
    </row>
    <row r="361" spans="4:65">
      <c r="D361" s="17" t="str">
        <f t="shared" si="75"/>
        <v>EinzelfuttermittelKatzeGemüse, Obst und Faserstoffe</v>
      </c>
      <c r="E361" s="4" t="s">
        <v>240</v>
      </c>
      <c r="F361" s="19" t="s">
        <v>90</v>
      </c>
      <c r="G361" s="4" t="s">
        <v>2855</v>
      </c>
      <c r="L361" s="4" t="s">
        <v>2867</v>
      </c>
      <c r="M361" s="4">
        <f t="shared" si="71"/>
        <v>9.4</v>
      </c>
      <c r="N361" s="4">
        <f t="shared" si="72"/>
        <v>45.8</v>
      </c>
      <c r="P361" s="4">
        <f t="shared" si="73"/>
        <v>5.2</v>
      </c>
      <c r="R361" s="4">
        <f t="shared" si="74"/>
        <v>0.3</v>
      </c>
      <c r="U361" s="33" t="str">
        <f t="shared" si="69"/>
        <v/>
      </c>
      <c r="AS361" s="4">
        <v>10000</v>
      </c>
      <c r="BA361" s="4">
        <v>129.80000000000001</v>
      </c>
      <c r="BB361" s="4">
        <v>3</v>
      </c>
      <c r="BC361" s="4" t="s">
        <v>764</v>
      </c>
      <c r="BD361" s="4" t="s">
        <v>703</v>
      </c>
      <c r="BE361" s="4" t="s">
        <v>240</v>
      </c>
      <c r="BF361" s="4">
        <v>9.4</v>
      </c>
      <c r="BG361" s="4">
        <v>45.8</v>
      </c>
      <c r="BI361" s="4">
        <v>5.2</v>
      </c>
      <c r="BK361" s="4">
        <v>0.3</v>
      </c>
      <c r="BL361" s="4" t="s">
        <v>766</v>
      </c>
      <c r="BM361" s="4" t="s">
        <v>765</v>
      </c>
    </row>
    <row r="362" spans="4:65">
      <c r="D362" s="17" t="str">
        <f t="shared" si="75"/>
        <v>EinzelfuttermittelKatzeInnereien, TNPs, Schlachtabfälle und Tiermehle</v>
      </c>
      <c r="E362" s="4" t="s">
        <v>240</v>
      </c>
      <c r="F362" s="19" t="s">
        <v>90</v>
      </c>
      <c r="G362" s="4" t="s">
        <v>2852</v>
      </c>
      <c r="L362" s="27" t="s">
        <v>1010</v>
      </c>
      <c r="M362" s="4">
        <f t="shared" si="71"/>
        <v>39.6</v>
      </c>
      <c r="N362" s="4">
        <f t="shared" si="72"/>
        <v>24.3</v>
      </c>
      <c r="P362" s="4">
        <f t="shared" si="73"/>
        <v>0.1</v>
      </c>
      <c r="R362" s="4">
        <f t="shared" si="74"/>
        <v>1.2</v>
      </c>
      <c r="U362" s="33" t="str">
        <f t="shared" si="69"/>
        <v/>
      </c>
      <c r="X362" s="4">
        <v>50</v>
      </c>
      <c r="BA362" s="4">
        <v>143.19999999999999</v>
      </c>
      <c r="BB362" s="4">
        <v>0.5</v>
      </c>
      <c r="BC362" s="4" t="s">
        <v>1877</v>
      </c>
      <c r="BD362" s="4" t="s">
        <v>1826</v>
      </c>
      <c r="BE362" s="4" t="s">
        <v>240</v>
      </c>
      <c r="BF362" s="4">
        <v>39.6</v>
      </c>
      <c r="BG362" s="4">
        <v>24.3</v>
      </c>
      <c r="BI362" s="4">
        <v>0.1</v>
      </c>
      <c r="BK362" s="4">
        <v>1.2</v>
      </c>
      <c r="BL362" s="4" t="s">
        <v>1879</v>
      </c>
      <c r="BM362" s="4" t="s">
        <v>1878</v>
      </c>
    </row>
    <row r="363" spans="4:65">
      <c r="D363" s="17" t="str">
        <f t="shared" si="75"/>
        <v>EinzelfuttermittelKatzeMineralstoffe</v>
      </c>
      <c r="E363" s="4" t="s">
        <v>240</v>
      </c>
      <c r="F363" s="19" t="s">
        <v>90</v>
      </c>
      <c r="G363" s="4" t="s">
        <v>437</v>
      </c>
      <c r="L363" s="4" t="s">
        <v>3217</v>
      </c>
      <c r="M363" s="4">
        <f t="shared" si="71"/>
        <v>0</v>
      </c>
      <c r="N363" s="4">
        <f t="shared" si="72"/>
        <v>0</v>
      </c>
      <c r="P363" s="4">
        <f t="shared" si="73"/>
        <v>0</v>
      </c>
      <c r="R363" s="4">
        <f t="shared" si="74"/>
        <v>0</v>
      </c>
      <c r="U363" s="33" t="str">
        <f t="shared" si="69"/>
        <v/>
      </c>
      <c r="BA363" s="4">
        <v>205</v>
      </c>
      <c r="BB363" s="4">
        <v>14</v>
      </c>
      <c r="BC363" s="4" t="s">
        <v>2656</v>
      </c>
      <c r="BD363" s="4" t="s">
        <v>2653</v>
      </c>
      <c r="BE363" s="4" t="s">
        <v>240</v>
      </c>
      <c r="BL363" s="4" t="s">
        <v>2658</v>
      </c>
      <c r="BM363" s="4" t="s">
        <v>2657</v>
      </c>
    </row>
    <row r="364" spans="4:65">
      <c r="D364" s="17" t="str">
        <f t="shared" si="75"/>
        <v>EinzelfuttermittelKatzeMineralstoffe</v>
      </c>
      <c r="E364" s="4" t="s">
        <v>240</v>
      </c>
      <c r="F364" s="19" t="s">
        <v>90</v>
      </c>
      <c r="G364" s="4" t="s">
        <v>437</v>
      </c>
      <c r="L364" s="4" t="s">
        <v>3217</v>
      </c>
      <c r="M364" s="4">
        <f t="shared" si="71"/>
        <v>0.8</v>
      </c>
      <c r="N364" s="4">
        <f t="shared" si="72"/>
        <v>0.1</v>
      </c>
      <c r="P364" s="4">
        <f t="shared" si="73"/>
        <v>0.1</v>
      </c>
      <c r="R364" s="4">
        <f t="shared" si="74"/>
        <v>11.7</v>
      </c>
      <c r="U364" s="33" t="str">
        <f t="shared" si="69"/>
        <v/>
      </c>
      <c r="BA364" s="4">
        <v>310.05</v>
      </c>
      <c r="BB364" s="4">
        <v>14.4</v>
      </c>
      <c r="BC364" s="4" t="s">
        <v>2659</v>
      </c>
      <c r="BD364" s="4" t="s">
        <v>2653</v>
      </c>
      <c r="BE364" s="4" t="s">
        <v>240</v>
      </c>
      <c r="BF364" s="4">
        <v>0.8</v>
      </c>
      <c r="BG364" s="4">
        <v>0.1</v>
      </c>
      <c r="BI364" s="4">
        <v>0.1</v>
      </c>
      <c r="BK364" s="4">
        <v>11.7</v>
      </c>
      <c r="BL364" s="4" t="s">
        <v>2661</v>
      </c>
      <c r="BM364" s="4" t="s">
        <v>2660</v>
      </c>
    </row>
    <row r="365" spans="4:65">
      <c r="D365" s="17" t="str">
        <f t="shared" ref="D365:D367" si="76">E365&amp;""&amp;F365&amp;""&amp;G365&amp;""&amp;H365</f>
        <v>EinzelfuttermittelKatzeFleisch-, Fisch- und Algenprodukte</v>
      </c>
      <c r="E365" s="4" t="s">
        <v>240</v>
      </c>
      <c r="F365" s="19" t="s">
        <v>90</v>
      </c>
      <c r="G365" s="4" t="s">
        <v>2854</v>
      </c>
      <c r="L365" s="4" t="s">
        <v>220</v>
      </c>
      <c r="M365" s="4">
        <f t="shared" ref="M365:M371" si="77">BF365</f>
        <v>22</v>
      </c>
      <c r="N365" s="4">
        <f t="shared" ref="N365:N371" si="78">BG365</f>
        <v>6</v>
      </c>
      <c r="P365" s="4">
        <f t="shared" ref="P365:P371" si="79">BI365</f>
        <v>3</v>
      </c>
      <c r="R365" s="4">
        <f t="shared" ref="R365:R371" si="80">BK365</f>
        <v>0</v>
      </c>
      <c r="U365" s="33" t="str">
        <f t="shared" si="69"/>
        <v/>
      </c>
      <c r="AD365" s="4">
        <v>80000</v>
      </c>
      <c r="BA365" s="4">
        <v>474.3</v>
      </c>
      <c r="BC365" s="4" t="s">
        <v>2920</v>
      </c>
      <c r="BD365" s="4" t="s">
        <v>2906</v>
      </c>
      <c r="BE365" s="4" t="s">
        <v>240</v>
      </c>
      <c r="BF365" s="4">
        <v>22</v>
      </c>
      <c r="BG365" s="4">
        <v>6</v>
      </c>
      <c r="BI365" s="4">
        <v>3</v>
      </c>
      <c r="BL365" s="4" t="s">
        <v>2921</v>
      </c>
      <c r="BM365" s="4" t="s">
        <v>2922</v>
      </c>
    </row>
    <row r="366" spans="4:65">
      <c r="D366" s="17" t="str">
        <f t="shared" si="76"/>
        <v>EinzelfuttermittelKatzeFette und Öle</v>
      </c>
      <c r="E366" s="4" t="s">
        <v>240</v>
      </c>
      <c r="F366" s="19" t="s">
        <v>90</v>
      </c>
      <c r="G366" s="4" t="s">
        <v>142</v>
      </c>
      <c r="L366" s="4" t="s">
        <v>3213</v>
      </c>
      <c r="M366" s="4">
        <f t="shared" si="77"/>
        <v>0</v>
      </c>
      <c r="N366" s="4">
        <f t="shared" si="78"/>
        <v>0</v>
      </c>
      <c r="P366" s="4">
        <f t="shared" si="79"/>
        <v>100</v>
      </c>
      <c r="R366" s="4">
        <f t="shared" si="80"/>
        <v>0</v>
      </c>
      <c r="U366" s="33" t="str">
        <f t="shared" si="69"/>
        <v/>
      </c>
      <c r="BA366" s="4">
        <v>24.67</v>
      </c>
      <c r="BC366" s="4" t="s">
        <v>2945</v>
      </c>
      <c r="BD366" s="4" t="s">
        <v>956</v>
      </c>
      <c r="BE366" s="4" t="s">
        <v>240</v>
      </c>
      <c r="BI366" s="4">
        <v>100</v>
      </c>
      <c r="BL366" s="4" t="s">
        <v>2946</v>
      </c>
      <c r="BM366" s="4" t="s">
        <v>2947</v>
      </c>
    </row>
    <row r="367" spans="4:65">
      <c r="D367" s="17" t="str">
        <f t="shared" si="76"/>
        <v>EinzelfuttermittelKatzeFette und Öle</v>
      </c>
      <c r="E367" s="4" t="s">
        <v>240</v>
      </c>
      <c r="F367" s="19" t="s">
        <v>90</v>
      </c>
      <c r="G367" s="4" t="s">
        <v>142</v>
      </c>
      <c r="L367" s="4" t="s">
        <v>143</v>
      </c>
      <c r="M367" s="4">
        <f t="shared" si="77"/>
        <v>0</v>
      </c>
      <c r="N367" s="4">
        <f t="shared" si="78"/>
        <v>0</v>
      </c>
      <c r="P367" s="4">
        <f t="shared" si="79"/>
        <v>0</v>
      </c>
      <c r="R367" s="4">
        <f t="shared" si="80"/>
        <v>0</v>
      </c>
      <c r="U367" s="33" t="str">
        <f t="shared" si="69"/>
        <v/>
      </c>
      <c r="BA367" s="4">
        <v>263</v>
      </c>
      <c r="BC367" s="4" t="s">
        <v>2954</v>
      </c>
      <c r="BD367" s="4" t="s">
        <v>956</v>
      </c>
      <c r="BE367" s="4" t="s">
        <v>240</v>
      </c>
      <c r="BL367" s="4" t="s">
        <v>2955</v>
      </c>
      <c r="BM367" s="4" t="s">
        <v>2956</v>
      </c>
    </row>
    <row r="368" spans="4:65">
      <c r="D368" s="17" t="str">
        <f t="shared" ref="D368" si="81">E368&amp;""&amp;F368&amp;""&amp;G368&amp;""&amp;H368</f>
        <v>EinzelfuttermittelKatzeEi- und Milchprodukte</v>
      </c>
      <c r="E368" s="4" t="s">
        <v>240</v>
      </c>
      <c r="F368" s="19" t="s">
        <v>90</v>
      </c>
      <c r="G368" s="4" t="s">
        <v>2856</v>
      </c>
      <c r="L368" s="4" t="s">
        <v>2873</v>
      </c>
      <c r="M368" s="4">
        <f t="shared" si="77"/>
        <v>0</v>
      </c>
      <c r="N368" s="4">
        <f t="shared" si="78"/>
        <v>70</v>
      </c>
      <c r="P368" s="4">
        <f t="shared" si="79"/>
        <v>0</v>
      </c>
      <c r="R368" s="4">
        <f t="shared" si="80"/>
        <v>0</v>
      </c>
      <c r="U368" s="33" t="str">
        <f t="shared" si="69"/>
        <v/>
      </c>
      <c r="BA368" s="4">
        <v>259.64</v>
      </c>
      <c r="BC368" s="4" t="s">
        <v>2957</v>
      </c>
      <c r="BD368" s="4" t="s">
        <v>956</v>
      </c>
      <c r="BE368" s="4" t="s">
        <v>240</v>
      </c>
      <c r="BG368" s="4">
        <v>70</v>
      </c>
      <c r="BL368" s="4" t="s">
        <v>2959</v>
      </c>
      <c r="BM368" s="4" t="s">
        <v>2958</v>
      </c>
    </row>
    <row r="369" spans="4:65">
      <c r="D369" s="17" t="str">
        <f t="shared" ref="D369:D370" si="82">E369&amp;""&amp;F369&amp;""&amp;G369&amp;""&amp;H369</f>
        <v>EinzelfuttermittelKatzeFette und Öle</v>
      </c>
      <c r="E369" s="4" t="s">
        <v>240</v>
      </c>
      <c r="F369" s="19" t="s">
        <v>90</v>
      </c>
      <c r="G369" s="4" t="s">
        <v>142</v>
      </c>
      <c r="L369" s="4" t="s">
        <v>2960</v>
      </c>
      <c r="M369" s="4">
        <f t="shared" si="77"/>
        <v>0</v>
      </c>
      <c r="N369" s="4">
        <f t="shared" si="78"/>
        <v>0</v>
      </c>
      <c r="P369" s="4">
        <f t="shared" si="79"/>
        <v>0</v>
      </c>
      <c r="R369" s="4">
        <f t="shared" si="80"/>
        <v>0</v>
      </c>
      <c r="U369" s="33" t="str">
        <f t="shared" si="69"/>
        <v/>
      </c>
      <c r="BA369" s="4">
        <v>203.68</v>
      </c>
      <c r="BC369" s="4" t="s">
        <v>2960</v>
      </c>
      <c r="BD369" s="4" t="s">
        <v>956</v>
      </c>
      <c r="BE369" s="4" t="s">
        <v>240</v>
      </c>
      <c r="BL369" s="4" t="s">
        <v>2961</v>
      </c>
      <c r="BM369" s="4" t="s">
        <v>2962</v>
      </c>
    </row>
    <row r="370" spans="4:65">
      <c r="D370" s="17" t="str">
        <f t="shared" si="82"/>
        <v>EinzelfuttermittelKatzeFette und Öle</v>
      </c>
      <c r="E370" s="4" t="s">
        <v>240</v>
      </c>
      <c r="F370" s="19" t="s">
        <v>90</v>
      </c>
      <c r="G370" s="4" t="s">
        <v>142</v>
      </c>
      <c r="L370" s="4" t="s">
        <v>293</v>
      </c>
      <c r="M370" s="4">
        <f t="shared" si="77"/>
        <v>0</v>
      </c>
      <c r="N370" s="4">
        <f t="shared" si="78"/>
        <v>0</v>
      </c>
      <c r="P370" s="4">
        <f t="shared" si="79"/>
        <v>0</v>
      </c>
      <c r="R370" s="4">
        <f t="shared" si="80"/>
        <v>0</v>
      </c>
      <c r="U370" s="33" t="str">
        <f t="shared" si="69"/>
        <v/>
      </c>
      <c r="BA370" s="4">
        <v>46.43</v>
      </c>
      <c r="BC370" s="4" t="s">
        <v>2972</v>
      </c>
      <c r="BD370" s="4" t="s">
        <v>956</v>
      </c>
      <c r="BE370" s="4" t="s">
        <v>240</v>
      </c>
      <c r="BL370" s="4" t="s">
        <v>2973</v>
      </c>
      <c r="BM370" s="4" t="s">
        <v>2974</v>
      </c>
    </row>
    <row r="371" spans="4:65">
      <c r="D371" s="17" t="str">
        <f t="shared" ref="D371" si="83">E371&amp;""&amp;F371&amp;""&amp;G371&amp;""&amp;H371</f>
        <v>EinzelfuttermittelKatzeEi- und Milchprodukte</v>
      </c>
      <c r="E371" s="4" t="s">
        <v>240</v>
      </c>
      <c r="F371" s="19" t="s">
        <v>90</v>
      </c>
      <c r="G371" s="4" t="s">
        <v>2856</v>
      </c>
      <c r="L371" s="4" t="s">
        <v>2858</v>
      </c>
      <c r="M371" s="4">
        <f t="shared" si="77"/>
        <v>95.9</v>
      </c>
      <c r="N371" s="4">
        <f t="shared" si="78"/>
        <v>0</v>
      </c>
      <c r="P371" s="4">
        <f t="shared" si="79"/>
        <v>0</v>
      </c>
      <c r="R371" s="4">
        <f t="shared" si="80"/>
        <v>0</v>
      </c>
      <c r="S371" s="4">
        <v>37100</v>
      </c>
      <c r="T371" s="4">
        <v>1</v>
      </c>
      <c r="U371" s="33">
        <f>IF(S371="","",S371/T371)</f>
        <v>37100</v>
      </c>
      <c r="BA371" s="4">
        <v>4.25</v>
      </c>
      <c r="BB371" s="31"/>
      <c r="BC371" s="4" t="s">
        <v>2991</v>
      </c>
      <c r="BD371" s="4" t="s">
        <v>956</v>
      </c>
      <c r="BE371" s="4" t="s">
        <v>240</v>
      </c>
      <c r="BF371" s="4">
        <v>95.9</v>
      </c>
      <c r="BL371" s="4" t="s">
        <v>2992</v>
      </c>
      <c r="BM371" s="4" t="s">
        <v>2993</v>
      </c>
    </row>
    <row r="372" spans="4:65">
      <c r="D372" s="17" t="str">
        <f t="shared" ref="D372" si="84">E372&amp;""&amp;F372&amp;""&amp;G372&amp;""&amp;H372</f>
        <v>EinzelfuttermittelKatzeGetreide, Samen, Leguminosen und Kartoffel-Produkte</v>
      </c>
      <c r="E372" s="4" t="s">
        <v>240</v>
      </c>
      <c r="F372" s="19" t="s">
        <v>90</v>
      </c>
      <c r="G372" s="4" t="s">
        <v>2857</v>
      </c>
      <c r="L372" s="4" t="s">
        <v>2866</v>
      </c>
      <c r="M372" s="4">
        <f t="shared" ref="M372:M379" si="85">BF372</f>
        <v>0</v>
      </c>
      <c r="N372" s="4">
        <f t="shared" ref="N372:N379" si="86">BG372</f>
        <v>0</v>
      </c>
      <c r="P372" s="4">
        <f t="shared" ref="P372:P379" si="87">BI372</f>
        <v>0</v>
      </c>
      <c r="R372" s="4">
        <f t="shared" ref="R372:R379" si="88">BK372</f>
        <v>7.2</v>
      </c>
      <c r="U372" s="33" t="str">
        <f t="shared" si="69"/>
        <v/>
      </c>
      <c r="BA372" s="4">
        <v>32.17</v>
      </c>
      <c r="BC372" s="4" t="s">
        <v>3003</v>
      </c>
      <c r="BD372" s="4" t="s">
        <v>956</v>
      </c>
      <c r="BE372" s="4" t="s">
        <v>240</v>
      </c>
      <c r="BK372" s="4">
        <v>7.2</v>
      </c>
      <c r="BL372" s="4" t="s">
        <v>1667</v>
      </c>
      <c r="BM372" s="4" t="s">
        <v>3004</v>
      </c>
    </row>
    <row r="373" spans="4:65">
      <c r="D373" s="17" t="str">
        <f t="shared" ref="D373" si="89">E373&amp;""&amp;F373&amp;""&amp;G373&amp;""&amp;H373</f>
        <v>EinzelfuttermittelKatzeFleisch-, Fisch- und Algenprodukte</v>
      </c>
      <c r="E373" s="4" t="s">
        <v>240</v>
      </c>
      <c r="F373" s="19" t="s">
        <v>90</v>
      </c>
      <c r="G373" s="4" t="s">
        <v>2854</v>
      </c>
      <c r="L373" s="4" t="s">
        <v>220</v>
      </c>
      <c r="M373" s="4">
        <f t="shared" si="85"/>
        <v>26.4</v>
      </c>
      <c r="N373" s="4">
        <f t="shared" si="86"/>
        <v>6.6</v>
      </c>
      <c r="P373" s="4">
        <f t="shared" si="87"/>
        <v>3.4</v>
      </c>
      <c r="R373" s="4">
        <f t="shared" si="88"/>
        <v>0</v>
      </c>
      <c r="U373" s="33" t="str">
        <f t="shared" si="69"/>
        <v/>
      </c>
      <c r="AD373" s="4">
        <v>80000</v>
      </c>
      <c r="BA373" s="4">
        <v>119.8</v>
      </c>
      <c r="BB373" s="4">
        <v>0.3</v>
      </c>
      <c r="BC373" s="4" t="s">
        <v>3005</v>
      </c>
      <c r="BD373" s="4" t="s">
        <v>956</v>
      </c>
      <c r="BE373" s="4" t="s">
        <v>240</v>
      </c>
      <c r="BF373" s="4">
        <v>26.4</v>
      </c>
      <c r="BG373" s="4">
        <v>6.6</v>
      </c>
      <c r="BI373" s="4">
        <v>3.4</v>
      </c>
      <c r="BL373" s="4" t="s">
        <v>3007</v>
      </c>
      <c r="BM373" s="4" t="s">
        <v>3006</v>
      </c>
    </row>
    <row r="374" spans="4:65">
      <c r="D374" s="17" t="str">
        <f t="shared" ref="D374" si="90">E374&amp;""&amp;F374&amp;""&amp;G374&amp;""&amp;H374</f>
        <v>EinzelfuttermittelKatzeFleisch-, Fisch- und Algenprodukte</v>
      </c>
      <c r="E374" s="4" t="s">
        <v>240</v>
      </c>
      <c r="F374" s="19" t="s">
        <v>90</v>
      </c>
      <c r="G374" s="4" t="s">
        <v>2854</v>
      </c>
      <c r="L374" s="4" t="s">
        <v>220</v>
      </c>
      <c r="M374" s="4">
        <f t="shared" si="85"/>
        <v>19.399999999999999</v>
      </c>
      <c r="N374" s="4">
        <f t="shared" si="86"/>
        <v>0</v>
      </c>
      <c r="P374" s="4">
        <f t="shared" si="87"/>
        <v>0</v>
      </c>
      <c r="R374" s="4">
        <f t="shared" si="88"/>
        <v>0</v>
      </c>
      <c r="U374" s="33" t="str">
        <f t="shared" si="69"/>
        <v/>
      </c>
      <c r="BA374" s="4">
        <v>21.49</v>
      </c>
      <c r="BB374" s="4">
        <v>0.4</v>
      </c>
      <c r="BC374" s="4" t="s">
        <v>220</v>
      </c>
      <c r="BD374" s="4" t="s">
        <v>956</v>
      </c>
      <c r="BE374" s="4" t="s">
        <v>240</v>
      </c>
      <c r="BF374" s="4">
        <v>19.399999999999999</v>
      </c>
      <c r="BL374" s="4" t="s">
        <v>3014</v>
      </c>
      <c r="BM374" s="4" t="s">
        <v>3015</v>
      </c>
    </row>
    <row r="375" spans="4:65">
      <c r="D375" s="17" t="str">
        <f t="shared" ref="D375" si="91">E375&amp;""&amp;F375&amp;""&amp;G375&amp;""&amp;H375</f>
        <v>EinzelfuttermittelKatzeEi- und Milchprodukte</v>
      </c>
      <c r="E375" s="4" t="s">
        <v>240</v>
      </c>
      <c r="F375" s="19" t="s">
        <v>90</v>
      </c>
      <c r="G375" s="4" t="s">
        <v>2856</v>
      </c>
      <c r="L375" s="4" t="s">
        <v>2858</v>
      </c>
      <c r="M375" s="4">
        <f t="shared" si="85"/>
        <v>95.9</v>
      </c>
      <c r="N375" s="4">
        <f t="shared" si="86"/>
        <v>0</v>
      </c>
      <c r="P375" s="4">
        <f t="shared" si="87"/>
        <v>0</v>
      </c>
      <c r="R375" s="4">
        <f t="shared" si="88"/>
        <v>0</v>
      </c>
      <c r="S375" s="4">
        <v>37100</v>
      </c>
      <c r="T375" s="4">
        <v>1</v>
      </c>
      <c r="U375" s="33">
        <f t="shared" si="69"/>
        <v>37100</v>
      </c>
      <c r="BA375" s="4">
        <v>4.71</v>
      </c>
      <c r="BB375" s="4">
        <v>0.4</v>
      </c>
      <c r="BC375" s="4" t="s">
        <v>3026</v>
      </c>
      <c r="BD375" s="4" t="s">
        <v>956</v>
      </c>
      <c r="BE375" s="4" t="s">
        <v>240</v>
      </c>
      <c r="BF375" s="4">
        <v>95.9</v>
      </c>
      <c r="BL375" s="4" t="s">
        <v>2992</v>
      </c>
      <c r="BM375" s="4" t="s">
        <v>3027</v>
      </c>
    </row>
    <row r="376" spans="4:65">
      <c r="D376" s="17" t="str">
        <f t="shared" ref="D376" si="92">E376&amp;""&amp;F376&amp;""&amp;G376&amp;""&amp;H376</f>
        <v>EinzelfuttermittelKatzeFette und Öle</v>
      </c>
      <c r="E376" s="4" t="s">
        <v>240</v>
      </c>
      <c r="F376" s="19" t="s">
        <v>90</v>
      </c>
      <c r="G376" s="4" t="s">
        <v>142</v>
      </c>
      <c r="L376" s="4" t="s">
        <v>3034</v>
      </c>
      <c r="M376" s="4">
        <f t="shared" si="85"/>
        <v>0</v>
      </c>
      <c r="N376" s="4">
        <f t="shared" si="86"/>
        <v>0</v>
      </c>
      <c r="P376" s="4">
        <f t="shared" si="87"/>
        <v>0</v>
      </c>
      <c r="R376" s="4">
        <f t="shared" si="88"/>
        <v>0</v>
      </c>
      <c r="U376" s="33" t="str">
        <f t="shared" si="69"/>
        <v/>
      </c>
      <c r="BA376" s="4">
        <v>252.53</v>
      </c>
      <c r="BC376" s="4" t="s">
        <v>3035</v>
      </c>
      <c r="BD376" s="4" t="s">
        <v>956</v>
      </c>
      <c r="BE376" s="4" t="s">
        <v>240</v>
      </c>
      <c r="BL376" s="4" t="s">
        <v>3037</v>
      </c>
      <c r="BM376" s="4" t="s">
        <v>3036</v>
      </c>
    </row>
    <row r="377" spans="4:65">
      <c r="D377" s="17" t="str">
        <f t="shared" ref="D377" si="93">E377&amp;""&amp;F377&amp;""&amp;G377&amp;""&amp;H377</f>
        <v>EinzelfuttermittelKatzeFleisch-, Fisch- und Algenprodukte</v>
      </c>
      <c r="E377" s="4" t="s">
        <v>240</v>
      </c>
      <c r="F377" s="19" t="s">
        <v>90</v>
      </c>
      <c r="G377" s="4" t="s">
        <v>2854</v>
      </c>
      <c r="L377" s="4" t="s">
        <v>2860</v>
      </c>
      <c r="M377" s="4">
        <f t="shared" si="85"/>
        <v>0</v>
      </c>
      <c r="N377" s="4">
        <f t="shared" si="86"/>
        <v>0</v>
      </c>
      <c r="P377" s="4">
        <f t="shared" si="87"/>
        <v>0</v>
      </c>
      <c r="R377" s="4">
        <f t="shared" si="88"/>
        <v>0</v>
      </c>
      <c r="S377" s="4">
        <v>30300</v>
      </c>
      <c r="T377" s="4">
        <v>1</v>
      </c>
      <c r="U377" s="33">
        <f t="shared" si="69"/>
        <v>30300</v>
      </c>
      <c r="BA377" s="4">
        <v>19.55</v>
      </c>
      <c r="BC377" s="4" t="s">
        <v>473</v>
      </c>
      <c r="BD377" s="4" t="s">
        <v>956</v>
      </c>
      <c r="BE377" s="4" t="s">
        <v>240</v>
      </c>
      <c r="BL377" s="4" t="s">
        <v>3041</v>
      </c>
      <c r="BM377" s="4" t="s">
        <v>3042</v>
      </c>
    </row>
    <row r="378" spans="4:65">
      <c r="D378" s="17" t="str">
        <f t="shared" ref="D378" si="94">E378&amp;""&amp;F378&amp;""&amp;G378&amp;""&amp;H378</f>
        <v>EinzelfuttermittelKatzeGemüse, Obst und Faserstoffe</v>
      </c>
      <c r="E378" s="4" t="s">
        <v>240</v>
      </c>
      <c r="F378" s="19" t="s">
        <v>90</v>
      </c>
      <c r="G378" s="4" t="s">
        <v>2855</v>
      </c>
      <c r="L378" s="4" t="s">
        <v>2867</v>
      </c>
      <c r="M378" s="4">
        <f t="shared" si="85"/>
        <v>0</v>
      </c>
      <c r="N378" s="4">
        <f t="shared" si="86"/>
        <v>46</v>
      </c>
      <c r="P378" s="4">
        <f t="shared" si="87"/>
        <v>0</v>
      </c>
      <c r="R378" s="4">
        <f t="shared" si="88"/>
        <v>0</v>
      </c>
      <c r="U378" s="33" t="str">
        <f t="shared" si="69"/>
        <v/>
      </c>
      <c r="BA378" s="4">
        <v>21.56</v>
      </c>
      <c r="BB378" s="4">
        <v>1.4</v>
      </c>
      <c r="BC378" s="4" t="s">
        <v>3043</v>
      </c>
      <c r="BD378" s="4" t="s">
        <v>956</v>
      </c>
      <c r="BE378" s="4" t="s">
        <v>240</v>
      </c>
      <c r="BG378" s="4">
        <v>46</v>
      </c>
      <c r="BL378" s="4" t="s">
        <v>524</v>
      </c>
      <c r="BM378" s="4" t="s">
        <v>3044</v>
      </c>
    </row>
    <row r="379" spans="4:65">
      <c r="D379" s="17" t="str">
        <f t="shared" ref="D379" si="95">E379&amp;""&amp;F379&amp;""&amp;G379&amp;""&amp;H379</f>
        <v>EinzelfuttermittelKatzeGemüse, Obst und Faserstoffe</v>
      </c>
      <c r="E379" s="4" t="s">
        <v>240</v>
      </c>
      <c r="F379" s="19" t="s">
        <v>90</v>
      </c>
      <c r="G379" s="4" t="s">
        <v>2855</v>
      </c>
      <c r="L379" s="4" t="s">
        <v>2878</v>
      </c>
      <c r="M379" s="4">
        <f t="shared" si="85"/>
        <v>0</v>
      </c>
      <c r="N379" s="4">
        <f t="shared" si="86"/>
        <v>0</v>
      </c>
      <c r="P379" s="4">
        <f t="shared" si="87"/>
        <v>0</v>
      </c>
      <c r="R379" s="4">
        <f t="shared" si="88"/>
        <v>30</v>
      </c>
      <c r="U379" s="33" t="str">
        <f t="shared" si="69"/>
        <v/>
      </c>
      <c r="BA379" s="4">
        <v>20.239999999999998</v>
      </c>
      <c r="BB379" s="4">
        <v>2</v>
      </c>
      <c r="BC379" s="4" t="s">
        <v>3057</v>
      </c>
      <c r="BD379" s="4" t="s">
        <v>956</v>
      </c>
      <c r="BE379" s="4" t="s">
        <v>240</v>
      </c>
      <c r="BK379" s="4">
        <v>30</v>
      </c>
      <c r="BL379" s="4" t="s">
        <v>3059</v>
      </c>
      <c r="BM379" s="4" t="s">
        <v>3058</v>
      </c>
    </row>
    <row r="380" spans="4:65">
      <c r="D380" s="17" t="str">
        <f t="shared" ref="D380" si="96">E380&amp;""&amp;F380&amp;""&amp;G380&amp;""&amp;H380</f>
        <v>EinzelfuttermittelKatzeFette und Öle</v>
      </c>
      <c r="E380" s="4" t="s">
        <v>240</v>
      </c>
      <c r="F380" s="19" t="s">
        <v>90</v>
      </c>
      <c r="G380" s="4" t="s">
        <v>142</v>
      </c>
      <c r="L380" s="4" t="s">
        <v>3211</v>
      </c>
      <c r="M380" s="4">
        <f t="shared" ref="M380:M384" si="97">BF380</f>
        <v>0</v>
      </c>
      <c r="N380" s="4">
        <f t="shared" ref="N380:N384" si="98">BG380</f>
        <v>0</v>
      </c>
      <c r="P380" s="4">
        <f t="shared" ref="P380:P384" si="99">BI380</f>
        <v>0</v>
      </c>
      <c r="R380" s="4">
        <f t="shared" ref="R380:R384" si="100">BK380</f>
        <v>0</v>
      </c>
      <c r="U380" s="33" t="str">
        <f t="shared" si="69"/>
        <v/>
      </c>
      <c r="BA380" s="4">
        <v>69.260000000000005</v>
      </c>
      <c r="BC380" s="4" t="s">
        <v>3062</v>
      </c>
      <c r="BD380" s="4" t="s">
        <v>956</v>
      </c>
      <c r="BE380" s="4" t="s">
        <v>240</v>
      </c>
      <c r="BL380" s="4" t="s">
        <v>3064</v>
      </c>
      <c r="BM380" s="4" t="s">
        <v>3063</v>
      </c>
    </row>
    <row r="381" spans="4:65">
      <c r="D381" s="17" t="str">
        <f t="shared" ref="D381" si="101">E381&amp;""&amp;F381&amp;""&amp;G381&amp;""&amp;H381</f>
        <v>EinzelfuttermittelKatzeFette und Öle</v>
      </c>
      <c r="E381" s="4" t="s">
        <v>240</v>
      </c>
      <c r="F381" s="19" t="s">
        <v>90</v>
      </c>
      <c r="G381" s="4" t="s">
        <v>142</v>
      </c>
      <c r="L381" s="4" t="s">
        <v>3074</v>
      </c>
      <c r="M381" s="4">
        <f t="shared" si="97"/>
        <v>0</v>
      </c>
      <c r="N381" s="4">
        <f t="shared" si="98"/>
        <v>0</v>
      </c>
      <c r="P381" s="4">
        <f t="shared" si="99"/>
        <v>0</v>
      </c>
      <c r="R381" s="4">
        <f t="shared" si="100"/>
        <v>0</v>
      </c>
      <c r="U381" s="33" t="str">
        <f t="shared" si="69"/>
        <v/>
      </c>
      <c r="BA381" s="4">
        <v>180.91</v>
      </c>
      <c r="BC381" s="4" t="s">
        <v>3075</v>
      </c>
      <c r="BD381" s="4" t="s">
        <v>956</v>
      </c>
      <c r="BE381" s="4" t="s">
        <v>240</v>
      </c>
      <c r="BL381" s="4" t="s">
        <v>3076</v>
      </c>
      <c r="BM381" s="4" t="s">
        <v>3077</v>
      </c>
    </row>
    <row r="382" spans="4:65">
      <c r="D382" s="17" t="str">
        <f t="shared" ref="D382" si="102">E382&amp;""&amp;F382&amp;""&amp;G382&amp;""&amp;H382</f>
        <v>EinzelfuttermittelKatzeGetreide, Samen, Leguminosen und Kartoffel-Produkte</v>
      </c>
      <c r="E382" s="4" t="s">
        <v>240</v>
      </c>
      <c r="F382" s="19" t="s">
        <v>90</v>
      </c>
      <c r="G382" s="4" t="s">
        <v>2857</v>
      </c>
      <c r="L382" s="4" t="s">
        <v>2866</v>
      </c>
      <c r="M382" s="4">
        <f t="shared" si="97"/>
        <v>0</v>
      </c>
      <c r="N382" s="4">
        <f t="shared" si="98"/>
        <v>0</v>
      </c>
      <c r="P382" s="4">
        <f t="shared" si="99"/>
        <v>0</v>
      </c>
      <c r="R382" s="4">
        <f t="shared" si="100"/>
        <v>7.2</v>
      </c>
      <c r="U382" s="33" t="str">
        <f t="shared" si="69"/>
        <v/>
      </c>
      <c r="BA382" s="4">
        <v>30.95</v>
      </c>
      <c r="BB382" s="4">
        <v>0.75</v>
      </c>
      <c r="BC382" s="4" t="s">
        <v>3078</v>
      </c>
      <c r="BD382" s="4" t="s">
        <v>956</v>
      </c>
      <c r="BE382" s="4" t="s">
        <v>240</v>
      </c>
      <c r="BK382" s="4">
        <v>7.2</v>
      </c>
      <c r="BL382" s="4" t="s">
        <v>1667</v>
      </c>
      <c r="BM382" s="4" t="s">
        <v>3079</v>
      </c>
    </row>
    <row r="383" spans="4:65">
      <c r="D383" s="17" t="str">
        <f t="shared" ref="D383" si="103">E383&amp;""&amp;F383&amp;""&amp;G383&amp;""&amp;H383</f>
        <v>EinzelfuttermittelKatzeFette und Öle</v>
      </c>
      <c r="E383" s="4" t="s">
        <v>240</v>
      </c>
      <c r="F383" s="19" t="s">
        <v>90</v>
      </c>
      <c r="G383" s="4" t="s">
        <v>142</v>
      </c>
      <c r="L383" s="4" t="s">
        <v>1044</v>
      </c>
      <c r="M383" s="4">
        <f t="shared" si="97"/>
        <v>0</v>
      </c>
      <c r="N383" s="4">
        <f t="shared" si="98"/>
        <v>0</v>
      </c>
      <c r="P383" s="4">
        <f t="shared" si="99"/>
        <v>0</v>
      </c>
      <c r="R383" s="4">
        <f t="shared" si="100"/>
        <v>0</v>
      </c>
      <c r="U383" s="33" t="str">
        <f t="shared" si="69"/>
        <v/>
      </c>
      <c r="BA383" s="4">
        <v>133.9</v>
      </c>
      <c r="BC383" s="4" t="s">
        <v>3080</v>
      </c>
      <c r="BD383" s="4" t="s">
        <v>956</v>
      </c>
      <c r="BE383" s="4" t="s">
        <v>240</v>
      </c>
      <c r="BL383" s="4" t="s">
        <v>3081</v>
      </c>
      <c r="BM383" s="4" t="s">
        <v>3082</v>
      </c>
    </row>
    <row r="384" spans="4:65">
      <c r="D384" s="17" t="str">
        <f t="shared" ref="D384" si="104">E384&amp;""&amp;F384&amp;""&amp;G384&amp;""&amp;H384</f>
        <v>EinzelfuttermittelKatzeMineralstoffe</v>
      </c>
      <c r="E384" s="4" t="s">
        <v>240</v>
      </c>
      <c r="F384" s="19" t="s">
        <v>90</v>
      </c>
      <c r="G384" s="4" t="s">
        <v>437</v>
      </c>
      <c r="L384" s="4" t="s">
        <v>1038</v>
      </c>
      <c r="M384" s="4">
        <f t="shared" si="97"/>
        <v>99</v>
      </c>
      <c r="N384" s="4">
        <f t="shared" si="98"/>
        <v>0</v>
      </c>
      <c r="P384" s="4">
        <f t="shared" si="99"/>
        <v>0</v>
      </c>
      <c r="R384" s="4">
        <f t="shared" si="100"/>
        <v>0</v>
      </c>
      <c r="S384" s="4">
        <v>40000</v>
      </c>
      <c r="T384" s="4">
        <v>1</v>
      </c>
      <c r="U384" s="33">
        <f t="shared" si="69"/>
        <v>40000</v>
      </c>
      <c r="BA384" s="4">
        <v>67.44</v>
      </c>
      <c r="BC384" s="4" t="s">
        <v>3086</v>
      </c>
      <c r="BD384" s="4" t="s">
        <v>3087</v>
      </c>
      <c r="BE384" s="4" t="s">
        <v>240</v>
      </c>
      <c r="BF384" s="4">
        <v>99</v>
      </c>
      <c r="BL384" s="4" t="s">
        <v>3088</v>
      </c>
      <c r="BM384" s="4" t="s">
        <v>3089</v>
      </c>
    </row>
    <row r="385" spans="4:65" ht="14.5">
      <c r="D385" s="17" t="str">
        <f t="shared" ref="D385:D392" si="105">E385&amp;""&amp;F385&amp;""&amp;G385&amp;""&amp;H385</f>
        <v>EinzelfuttermittelKatzeFette und Öle</v>
      </c>
      <c r="E385" s="4" t="s">
        <v>240</v>
      </c>
      <c r="F385" s="19" t="s">
        <v>90</v>
      </c>
      <c r="G385" s="4" t="s">
        <v>142</v>
      </c>
      <c r="L385" s="4" t="s">
        <v>3206</v>
      </c>
      <c r="M385">
        <f t="shared" ref="M385:N389" si="106">BF385</f>
        <v>0.1</v>
      </c>
      <c r="N385">
        <f t="shared" si="106"/>
        <v>17.899999999999999</v>
      </c>
      <c r="P385" s="4">
        <f>BI385</f>
        <v>38.299999999999997</v>
      </c>
      <c r="R385">
        <f>BK385</f>
        <v>0.7</v>
      </c>
      <c r="U385" s="33" t="str">
        <f t="shared" si="69"/>
        <v/>
      </c>
      <c r="BA385" s="4">
        <v>104.6</v>
      </c>
      <c r="BC385" s="4" t="s">
        <v>2329</v>
      </c>
      <c r="BD385" s="4" t="s">
        <v>2322</v>
      </c>
      <c r="BE385" s="4" t="s">
        <v>240</v>
      </c>
      <c r="BF385" s="4">
        <v>0.1</v>
      </c>
      <c r="BG385" s="4">
        <v>17.899999999999999</v>
      </c>
      <c r="BI385" s="4">
        <v>38.299999999999997</v>
      </c>
      <c r="BK385" s="4">
        <v>0.7</v>
      </c>
      <c r="BL385" s="4" t="s">
        <v>2331</v>
      </c>
      <c r="BM385" s="4" t="s">
        <v>2330</v>
      </c>
    </row>
    <row r="386" spans="4:65" ht="14.5">
      <c r="D386" s="17" t="str">
        <f t="shared" si="105"/>
        <v>EinzelfuttermittelKatzeFette und Öle</v>
      </c>
      <c r="E386" s="4" t="s">
        <v>240</v>
      </c>
      <c r="F386" s="19" t="s">
        <v>90</v>
      </c>
      <c r="G386" s="4" t="s">
        <v>142</v>
      </c>
      <c r="L386" s="4" t="s">
        <v>215</v>
      </c>
      <c r="M386">
        <f t="shared" si="106"/>
        <v>0</v>
      </c>
      <c r="N386">
        <f t="shared" si="106"/>
        <v>0</v>
      </c>
      <c r="P386" s="4">
        <f>BI386</f>
        <v>99.9</v>
      </c>
      <c r="R386">
        <f>BK386</f>
        <v>0</v>
      </c>
      <c r="U386" s="33" t="str">
        <f t="shared" si="69"/>
        <v/>
      </c>
      <c r="BA386" s="4">
        <v>121.4</v>
      </c>
      <c r="BB386" s="4">
        <v>3</v>
      </c>
      <c r="BC386" s="4" t="s">
        <v>215</v>
      </c>
      <c r="BD386" s="4" t="s">
        <v>2020</v>
      </c>
      <c r="BE386" s="4" t="s">
        <v>240</v>
      </c>
      <c r="BI386" s="4">
        <v>99.9</v>
      </c>
      <c r="BL386" s="4" t="s">
        <v>2030</v>
      </c>
      <c r="BM386" s="4" t="s">
        <v>2029</v>
      </c>
    </row>
    <row r="387" spans="4:65" ht="14.5">
      <c r="D387" s="17" t="str">
        <f t="shared" si="105"/>
        <v>EinzelfuttermittelKatzeFette und Öle</v>
      </c>
      <c r="E387" s="4" t="s">
        <v>240</v>
      </c>
      <c r="F387" s="19" t="s">
        <v>90</v>
      </c>
      <c r="G387" s="4" t="s">
        <v>142</v>
      </c>
      <c r="L387" s="4" t="s">
        <v>1631</v>
      </c>
      <c r="M387">
        <f t="shared" si="106"/>
        <v>1</v>
      </c>
      <c r="N387">
        <f t="shared" si="106"/>
        <v>2</v>
      </c>
      <c r="P387" s="4">
        <f>BI387</f>
        <v>80</v>
      </c>
      <c r="R387">
        <f>BK387</f>
        <v>0</v>
      </c>
      <c r="U387" s="33" t="str">
        <f t="shared" si="69"/>
        <v/>
      </c>
      <c r="BA387" s="4">
        <v>681.11</v>
      </c>
      <c r="BC387" s="4" t="s">
        <v>1762</v>
      </c>
      <c r="BD387" s="4" t="s">
        <v>1753</v>
      </c>
      <c r="BE387" s="4" t="s">
        <v>240</v>
      </c>
      <c r="BF387" s="4">
        <v>1</v>
      </c>
      <c r="BG387" s="4">
        <v>2</v>
      </c>
      <c r="BI387" s="4">
        <v>80</v>
      </c>
      <c r="BL387" s="4" t="s">
        <v>1764</v>
      </c>
      <c r="BM387" s="4" t="s">
        <v>1763</v>
      </c>
    </row>
    <row r="388" spans="4:65" ht="14.5">
      <c r="D388" s="17" t="str">
        <f t="shared" si="105"/>
        <v>EinzelfuttermittelKatzeFette und Öle</v>
      </c>
      <c r="E388" s="4" t="s">
        <v>240</v>
      </c>
      <c r="F388" s="19" t="s">
        <v>90</v>
      </c>
      <c r="G388" s="4" t="s">
        <v>142</v>
      </c>
      <c r="L388" s="4" t="s">
        <v>3206</v>
      </c>
      <c r="M388">
        <f t="shared" si="106"/>
        <v>0</v>
      </c>
      <c r="N388">
        <f t="shared" si="106"/>
        <v>0</v>
      </c>
      <c r="P388" s="4">
        <f>BI388</f>
        <v>100</v>
      </c>
      <c r="R388">
        <f>BK388</f>
        <v>0</v>
      </c>
      <c r="U388" s="33" t="str">
        <f t="shared" si="69"/>
        <v/>
      </c>
      <c r="BA388" s="4">
        <v>53.8</v>
      </c>
      <c r="BC388" s="4" t="s">
        <v>1035</v>
      </c>
      <c r="BD388" s="4" t="s">
        <v>997</v>
      </c>
      <c r="BE388" s="4" t="s">
        <v>240</v>
      </c>
      <c r="BI388" s="4">
        <v>100</v>
      </c>
      <c r="BL388" s="4" t="s">
        <v>1037</v>
      </c>
      <c r="BM388" s="4" t="s">
        <v>1036</v>
      </c>
    </row>
    <row r="389" spans="4:65" ht="14.5">
      <c r="D389" s="17" t="str">
        <f t="shared" si="105"/>
        <v>EinzelfuttermittelKatzeFette und Öle</v>
      </c>
      <c r="E389" s="4" t="s">
        <v>240</v>
      </c>
      <c r="F389" s="19" t="s">
        <v>90</v>
      </c>
      <c r="G389" s="4" t="s">
        <v>142</v>
      </c>
      <c r="L389" s="4" t="s">
        <v>3208</v>
      </c>
      <c r="M389">
        <f t="shared" si="106"/>
        <v>0</v>
      </c>
      <c r="N389" s="20">
        <f t="shared" si="106"/>
        <v>0</v>
      </c>
      <c r="O389"/>
      <c r="P389">
        <f>BI389</f>
        <v>97</v>
      </c>
      <c r="Q389"/>
      <c r="R389">
        <f>BK389</f>
        <v>0</v>
      </c>
      <c r="U389" s="33" t="str">
        <f t="shared" ref="U389:U398" si="107">IF(S389="","",S389/T389)</f>
        <v/>
      </c>
      <c r="AF389" s="4">
        <f>AG389*Einzelfuttermittel!$BO$267</f>
        <v>7020</v>
      </c>
      <c r="AG389" s="4">
        <v>23400</v>
      </c>
      <c r="AK389" s="4">
        <v>2340</v>
      </c>
      <c r="AL389" s="4">
        <f>AK389*EFM!$BO$571</f>
        <v>0</v>
      </c>
      <c r="AN389" s="4">
        <v>106.5</v>
      </c>
      <c r="BA389" s="4">
        <v>92.5</v>
      </c>
      <c r="BB389" s="4">
        <v>2.25</v>
      </c>
      <c r="BC389" s="4" t="s">
        <v>241</v>
      </c>
      <c r="BD389" s="4" t="s">
        <v>214</v>
      </c>
      <c r="BE389" s="4" t="s">
        <v>240</v>
      </c>
      <c r="BI389" s="4">
        <v>97</v>
      </c>
      <c r="BL389" s="4" t="s">
        <v>3207</v>
      </c>
      <c r="BM389" s="4" t="s">
        <v>242</v>
      </c>
    </row>
    <row r="390" spans="4:65" ht="14.5">
      <c r="D390" s="17" t="str">
        <f t="shared" si="105"/>
        <v>EinzelfuttermittelKatzeGemüse, Obst und Faserstoffe</v>
      </c>
      <c r="E390" s="4" t="s">
        <v>240</v>
      </c>
      <c r="F390" s="19" t="s">
        <v>90</v>
      </c>
      <c r="G390" s="4" t="s">
        <v>2855</v>
      </c>
      <c r="L390" s="4" t="s">
        <v>2867</v>
      </c>
      <c r="M390">
        <f t="shared" ref="M390:M391" si="108">BF390</f>
        <v>0</v>
      </c>
      <c r="N390" s="20">
        <f t="shared" ref="N390:N391" si="109">BG390</f>
        <v>45</v>
      </c>
      <c r="O390"/>
      <c r="P390">
        <f t="shared" ref="P390:P391" si="110">BI390</f>
        <v>0</v>
      </c>
      <c r="Q390"/>
      <c r="R390">
        <f t="shared" ref="R390:R391" si="111">BK390</f>
        <v>0</v>
      </c>
      <c r="U390" s="33" t="str">
        <f t="shared" si="107"/>
        <v/>
      </c>
      <c r="BA390" s="4">
        <v>31.5</v>
      </c>
      <c r="BB390" s="4">
        <v>0.8</v>
      </c>
      <c r="BC390" s="4" t="s">
        <v>895</v>
      </c>
      <c r="BD390" s="4" t="s">
        <v>442</v>
      </c>
      <c r="BE390" s="4" t="s">
        <v>240</v>
      </c>
      <c r="BG390" s="4">
        <v>45</v>
      </c>
      <c r="BL390" s="4" t="s">
        <v>3219</v>
      </c>
      <c r="BM390" s="4" t="s">
        <v>3218</v>
      </c>
    </row>
    <row r="391" spans="4:65" ht="14.5">
      <c r="D391" s="17" t="str">
        <f t="shared" si="105"/>
        <v>EinzelfuttermittelKatzeMineralstoffe</v>
      </c>
      <c r="E391" s="4" t="s">
        <v>240</v>
      </c>
      <c r="F391" s="19" t="s">
        <v>90</v>
      </c>
      <c r="G391" s="4" t="s">
        <v>437</v>
      </c>
      <c r="L391" s="4" t="s">
        <v>3223</v>
      </c>
      <c r="M391">
        <f t="shared" si="108"/>
        <v>0</v>
      </c>
      <c r="N391" s="20">
        <f t="shared" si="109"/>
        <v>0</v>
      </c>
      <c r="O391"/>
      <c r="P391">
        <f t="shared" si="110"/>
        <v>0</v>
      </c>
      <c r="Q391"/>
      <c r="R391">
        <f t="shared" si="111"/>
        <v>0</v>
      </c>
      <c r="S391" s="4">
        <v>8900</v>
      </c>
      <c r="T391" s="4">
        <v>1</v>
      </c>
      <c r="U391" s="33">
        <f t="shared" si="107"/>
        <v>8900</v>
      </c>
      <c r="BA391" s="4">
        <v>105.56</v>
      </c>
      <c r="BB391" s="4">
        <v>0.75</v>
      </c>
      <c r="BC391" s="4" t="s">
        <v>3224</v>
      </c>
      <c r="BD391" s="4" t="s">
        <v>442</v>
      </c>
      <c r="BE391" s="4" t="s">
        <v>240</v>
      </c>
      <c r="BL391" s="4" t="s">
        <v>3223</v>
      </c>
      <c r="BM391" s="4" t="s">
        <v>3225</v>
      </c>
    </row>
    <row r="392" spans="4:65" ht="14.5">
      <c r="D392" s="17" t="str">
        <f t="shared" si="105"/>
        <v>EinzelfuttermittelKatzeMineralstoffe</v>
      </c>
      <c r="E392" s="4" t="s">
        <v>240</v>
      </c>
      <c r="F392" s="19" t="s">
        <v>90</v>
      </c>
      <c r="G392" s="4" t="s">
        <v>437</v>
      </c>
      <c r="L392" s="4" t="s">
        <v>480</v>
      </c>
      <c r="M392">
        <f t="shared" ref="M392" si="112">BF392</f>
        <v>0</v>
      </c>
      <c r="N392" s="20">
        <f t="shared" ref="N392" si="113">BG392</f>
        <v>0</v>
      </c>
      <c r="O392"/>
      <c r="P392">
        <f t="shared" ref="P392" si="114">BI392</f>
        <v>0</v>
      </c>
      <c r="Q392"/>
      <c r="R392">
        <f t="shared" ref="R392" si="115">BK392</f>
        <v>0</v>
      </c>
      <c r="S392" s="4">
        <v>29000</v>
      </c>
      <c r="T392" s="4">
        <v>22000</v>
      </c>
      <c r="U392" s="33">
        <f t="shared" si="107"/>
        <v>1.3181818181818181</v>
      </c>
      <c r="Y392" s="4">
        <v>90</v>
      </c>
      <c r="BA392" s="4">
        <v>16.170000000000002</v>
      </c>
      <c r="BB392" s="4">
        <v>0.8</v>
      </c>
      <c r="BC392" s="4" t="s">
        <v>480</v>
      </c>
      <c r="BD392" s="4" t="s">
        <v>442</v>
      </c>
      <c r="BE392" s="4" t="s">
        <v>240</v>
      </c>
      <c r="BL392" s="4" t="s">
        <v>480</v>
      </c>
      <c r="BM392" s="4" t="s">
        <v>3236</v>
      </c>
    </row>
    <row r="393" spans="4:65" ht="14.5">
      <c r="D393" s="17" t="str">
        <f t="shared" ref="D393:D395" si="116">E393&amp;""&amp;F393&amp;""&amp;G393&amp;""&amp;H393</f>
        <v>EinzelfuttermittelKatzeFleisch-, Fisch- und Algenprodukte</v>
      </c>
      <c r="E393" s="4" t="s">
        <v>240</v>
      </c>
      <c r="F393" s="19" t="s">
        <v>90</v>
      </c>
      <c r="G393" s="4" t="s">
        <v>2854</v>
      </c>
      <c r="L393" s="4" t="s">
        <v>215</v>
      </c>
      <c r="M393">
        <f t="shared" ref="M393:M398" si="117">BF393</f>
        <v>0</v>
      </c>
      <c r="N393" s="20">
        <f t="shared" ref="N393:N398" si="118">BG393</f>
        <v>0</v>
      </c>
      <c r="O393"/>
      <c r="P393">
        <f t="shared" ref="P393:P398" si="119">BI393</f>
        <v>99</v>
      </c>
      <c r="Q393"/>
      <c r="R393">
        <f t="shared" ref="R393:R398" si="120">BK393</f>
        <v>0</v>
      </c>
      <c r="U393" s="33" t="str">
        <f t="shared" si="107"/>
        <v/>
      </c>
      <c r="BA393" s="4">
        <v>22.9</v>
      </c>
      <c r="BB393" s="4">
        <v>2.5</v>
      </c>
      <c r="BC393" s="4" t="s">
        <v>215</v>
      </c>
      <c r="BD393" s="4" t="s">
        <v>442</v>
      </c>
      <c r="BE393" s="4" t="s">
        <v>240</v>
      </c>
      <c r="BI393" s="4">
        <v>99</v>
      </c>
      <c r="BL393" s="4" t="s">
        <v>943</v>
      </c>
      <c r="BM393" s="4" t="s">
        <v>3244</v>
      </c>
    </row>
    <row r="394" spans="4:65" ht="14.5">
      <c r="D394" s="17" t="str">
        <f t="shared" si="116"/>
        <v>EinzelfuttermittelKatzeMineralstoffe</v>
      </c>
      <c r="E394" s="4" t="s">
        <v>240</v>
      </c>
      <c r="F394" s="19" t="s">
        <v>90</v>
      </c>
      <c r="G394" s="4" t="s">
        <v>437</v>
      </c>
      <c r="L394" s="4" t="s">
        <v>3248</v>
      </c>
      <c r="M394">
        <f t="shared" si="117"/>
        <v>0</v>
      </c>
      <c r="N394" s="20">
        <f t="shared" si="118"/>
        <v>0</v>
      </c>
      <c r="O394"/>
      <c r="P394">
        <f t="shared" si="119"/>
        <v>0</v>
      </c>
      <c r="Q394"/>
      <c r="R394">
        <f t="shared" si="120"/>
        <v>0</v>
      </c>
      <c r="U394" s="33" t="str">
        <f t="shared" si="107"/>
        <v/>
      </c>
      <c r="V394" s="4">
        <v>5900</v>
      </c>
      <c r="BA394" s="4">
        <v>86.5</v>
      </c>
      <c r="BB394" s="4">
        <v>0.75</v>
      </c>
      <c r="BC394" s="4" t="s">
        <v>3248</v>
      </c>
      <c r="BD394" s="4" t="s">
        <v>442</v>
      </c>
      <c r="BE394" s="4" t="s">
        <v>240</v>
      </c>
      <c r="BL394" s="4" t="s">
        <v>3248</v>
      </c>
      <c r="BM394" s="4" t="s">
        <v>3249</v>
      </c>
    </row>
    <row r="395" spans="4:65" ht="14.5">
      <c r="D395" s="17" t="str">
        <f t="shared" si="116"/>
        <v>EinzelfuttermittelKatzeFette und Öle</v>
      </c>
      <c r="E395" s="4" t="s">
        <v>240</v>
      </c>
      <c r="F395" s="19" t="s">
        <v>90</v>
      </c>
      <c r="G395" s="4" t="s">
        <v>142</v>
      </c>
      <c r="L395" s="4" t="s">
        <v>143</v>
      </c>
      <c r="M395">
        <f t="shared" si="117"/>
        <v>0</v>
      </c>
      <c r="N395" s="20">
        <f t="shared" si="118"/>
        <v>0</v>
      </c>
      <c r="O395"/>
      <c r="P395">
        <f t="shared" si="119"/>
        <v>99.9</v>
      </c>
      <c r="Q395"/>
      <c r="R395">
        <f t="shared" si="120"/>
        <v>0</v>
      </c>
      <c r="U395" s="33" t="str">
        <f t="shared" si="107"/>
        <v/>
      </c>
      <c r="BA395" s="4">
        <v>59</v>
      </c>
      <c r="BC395" s="4" t="s">
        <v>143</v>
      </c>
      <c r="BD395" s="4" t="s">
        <v>442</v>
      </c>
      <c r="BE395" s="4" t="s">
        <v>240</v>
      </c>
      <c r="BI395" s="4">
        <v>99.9</v>
      </c>
      <c r="BL395" s="4" t="s">
        <v>143</v>
      </c>
      <c r="BM395" s="4" t="s">
        <v>3250</v>
      </c>
    </row>
    <row r="396" spans="4:65" ht="14.5">
      <c r="D396" s="17" t="str">
        <f t="shared" ref="D396" si="121">E396&amp;""&amp;F396&amp;""&amp;G396&amp;""&amp;H396</f>
        <v>EinzelfuttermittelKatzeEi- und Milchprodukte</v>
      </c>
      <c r="E396" s="4" t="s">
        <v>240</v>
      </c>
      <c r="F396" s="19" t="s">
        <v>90</v>
      </c>
      <c r="G396" s="4" t="s">
        <v>2856</v>
      </c>
      <c r="L396" s="4" t="s">
        <v>3254</v>
      </c>
      <c r="M396">
        <f t="shared" si="117"/>
        <v>0</v>
      </c>
      <c r="N396" s="20">
        <f t="shared" si="118"/>
        <v>95</v>
      </c>
      <c r="O396"/>
      <c r="P396">
        <f t="shared" si="119"/>
        <v>0</v>
      </c>
      <c r="Q396"/>
      <c r="R396">
        <f t="shared" si="120"/>
        <v>0</v>
      </c>
      <c r="U396" s="33" t="str">
        <f t="shared" si="107"/>
        <v/>
      </c>
      <c r="BA396" s="4">
        <v>76.33</v>
      </c>
      <c r="BB396" s="4">
        <v>3.5</v>
      </c>
      <c r="BC396" s="4" t="s">
        <v>3255</v>
      </c>
      <c r="BD396" s="4" t="s">
        <v>442</v>
      </c>
      <c r="BE396" s="4" t="s">
        <v>240</v>
      </c>
      <c r="BG396" s="4">
        <v>95</v>
      </c>
      <c r="BL396" s="4" t="s">
        <v>3257</v>
      </c>
      <c r="BM396" s="4" t="s">
        <v>3256</v>
      </c>
    </row>
    <row r="397" spans="4:65" ht="14.5">
      <c r="D397" s="17" t="str">
        <f t="shared" ref="D397" si="122">E397&amp;""&amp;F397&amp;""&amp;G397&amp;""&amp;H397</f>
        <v>EinzelfuttermittelKatzeFleisch-, Fisch- und Algenprodukte</v>
      </c>
      <c r="E397" s="4" t="s">
        <v>240</v>
      </c>
      <c r="F397" s="19" t="s">
        <v>90</v>
      </c>
      <c r="G397" s="4" t="s">
        <v>2854</v>
      </c>
      <c r="L397" s="4" t="s">
        <v>220</v>
      </c>
      <c r="M397">
        <f t="shared" si="117"/>
        <v>19.899999999999999</v>
      </c>
      <c r="N397" s="20">
        <f t="shared" si="118"/>
        <v>0</v>
      </c>
      <c r="O397"/>
      <c r="P397">
        <f t="shared" si="119"/>
        <v>0</v>
      </c>
      <c r="Q397"/>
      <c r="R397">
        <f t="shared" si="120"/>
        <v>6.4</v>
      </c>
      <c r="U397" s="33" t="str">
        <f t="shared" si="107"/>
        <v/>
      </c>
      <c r="BA397" s="4">
        <v>15.96</v>
      </c>
      <c r="BB397" s="4">
        <v>1.5</v>
      </c>
      <c r="BC397" s="4" t="s">
        <v>3261</v>
      </c>
      <c r="BD397" s="4" t="s">
        <v>442</v>
      </c>
      <c r="BE397" s="4" t="s">
        <v>240</v>
      </c>
      <c r="BF397" s="4">
        <v>19.899999999999999</v>
      </c>
      <c r="BK397" s="4">
        <v>6.4</v>
      </c>
      <c r="BL397" s="4" t="s">
        <v>220</v>
      </c>
      <c r="BM397" s="4" t="s">
        <v>3262</v>
      </c>
    </row>
    <row r="398" spans="4:65" ht="14.5">
      <c r="D398" s="17" t="str">
        <f t="shared" ref="D398" si="123">E398&amp;""&amp;F398&amp;""&amp;G398&amp;""&amp;H398</f>
        <v>EinzelfuttermittelKatzeFleisch-, Fisch- und Algenprodukte</v>
      </c>
      <c r="E398" s="4" t="s">
        <v>240</v>
      </c>
      <c r="F398" s="19" t="s">
        <v>90</v>
      </c>
      <c r="G398" s="4" t="s">
        <v>2854</v>
      </c>
      <c r="L398" s="4" t="s">
        <v>2859</v>
      </c>
      <c r="M398">
        <f t="shared" si="117"/>
        <v>6.8</v>
      </c>
      <c r="N398" s="20">
        <f t="shared" si="118"/>
        <v>68.5</v>
      </c>
      <c r="O398"/>
      <c r="P398">
        <f t="shared" si="119"/>
        <v>5.6</v>
      </c>
      <c r="Q398"/>
      <c r="R398">
        <f t="shared" si="120"/>
        <v>2</v>
      </c>
      <c r="U398" s="33" t="str">
        <f t="shared" si="107"/>
        <v/>
      </c>
      <c r="BA398" s="4">
        <v>75</v>
      </c>
      <c r="BB398" s="4">
        <v>1</v>
      </c>
      <c r="BC398" s="4" t="s">
        <v>516</v>
      </c>
      <c r="BD398" s="4" t="s">
        <v>442</v>
      </c>
      <c r="BE398" s="4" t="s">
        <v>240</v>
      </c>
      <c r="BF398" s="4">
        <v>6.8</v>
      </c>
      <c r="BG398" s="4">
        <v>68.5</v>
      </c>
      <c r="BI398" s="4">
        <v>5.6</v>
      </c>
      <c r="BK398" s="4">
        <v>2</v>
      </c>
      <c r="BL398" s="4" t="s">
        <v>516</v>
      </c>
      <c r="BM398" s="4" t="s">
        <v>3263</v>
      </c>
    </row>
  </sheetData>
  <conditionalFormatting sqref="F1:F1048576">
    <cfRule type="containsText" dxfId="0" priority="1" operator="containsText" text="Ka">
      <formula>NOT(ISERROR(SEARCH("Ka",F1)))</formula>
    </cfRule>
  </conditionalFormatting>
  <hyperlinks>
    <hyperlink ref="BM50" r:id="rId1" xr:uid="{D2D85CF7-AE28-4920-B120-A606800B73C8}"/>
    <hyperlink ref="BM56" r:id="rId2" xr:uid="{8C345536-F25A-4246-8E7C-1793F986E876}"/>
    <hyperlink ref="BM88" r:id="rId3" xr:uid="{0FFD8279-9DC0-4123-A8D5-ABFFE3618A27}"/>
    <hyperlink ref="BM162" r:id="rId4" xr:uid="{102ECE2B-0EE2-4334-9212-F16B70E1E600}"/>
    <hyperlink ref="BM267" r:id="rId5" xr:uid="{8103364B-DB71-4006-B8BD-A0C254AEE4F0}"/>
    <hyperlink ref="BM297" r:id="rId6" xr:uid="{315E6958-3E2A-4B14-9DAE-701151CBEA77}"/>
    <hyperlink ref="BM333" r:id="rId7" xr:uid="{6AF54D2D-292C-4B44-99B5-7D6EDBEFE18D}"/>
    <hyperlink ref="BM356" r:id="rId8" xr:uid="{2B153329-40CF-4895-94A3-9BDBD571B079}"/>
    <hyperlink ref="BM4" r:id="rId9" xr:uid="{D058720F-F914-4D60-ADC9-D754123C159D}"/>
    <hyperlink ref="BM31" r:id="rId10" xr:uid="{16C075F2-F5C3-477A-8F2B-E6AD201ED553}"/>
    <hyperlink ref="BM7" r:id="rId11" xr:uid="{27415A27-668B-4FA5-8371-A18B148ACBB7}"/>
    <hyperlink ref="BM8" r:id="rId12" xr:uid="{8747B48A-81E4-4AEB-B3C3-433CCE0FE293}"/>
  </hyperlinks>
  <pageMargins left="0.7" right="0.7" top="0.75" bottom="0.75" header="0.3" footer="0.3"/>
  <pageSetup paperSize="9" orientation="portrait" r:id="rId1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EFM</vt:lpstr>
      <vt:lpstr>Einzelfuttermittel</vt:lpstr>
    </vt:vector>
  </TitlesOfParts>
  <Company>Vetmeduni Vienna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zebeliq</dc:creator>
  <cp:lastModifiedBy>Alicka, Ewald</cp:lastModifiedBy>
  <dcterms:created xsi:type="dcterms:W3CDTF">2024-04-16T08:46:29Z</dcterms:created>
  <dcterms:modified xsi:type="dcterms:W3CDTF">2025-12-10T19:29:49Z</dcterms:modified>
</cp:coreProperties>
</file>