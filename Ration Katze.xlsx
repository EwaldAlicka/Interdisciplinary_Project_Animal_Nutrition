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wald\Downloads\"/>
    </mc:Choice>
  </mc:AlternateContent>
  <xr:revisionPtr revIDLastSave="0" documentId="13_ncr:1_{4C0620AD-EACA-4FBA-8566-24A3FF8DA44E}" xr6:coauthVersionLast="47" xr6:coauthVersionMax="47" xr10:uidLastSave="{00000000-0000-0000-0000-000000000000}"/>
  <bookViews>
    <workbookView xWindow="-110" yWindow="-110" windowWidth="19420" windowHeight="10300" xr2:uid="{150D7DD6-74AB-457A-B055-996959260465}"/>
  </bookViews>
  <sheets>
    <sheet name="Tabelle1" sheetId="1" r:id="rId1"/>
  </sheets>
  <externalReferences>
    <externalReference r:id="rId2"/>
  </externalReferences>
  <definedNames>
    <definedName name="COMBOBOX5">'[1]Combobox-Quellen'!$AF$2:INDEX('[1]Combobox-Quellen'!$AF$2:$AF$10, (MATCH("zzz", '[1]Combobox-Quellen'!$AF$2:$AF$10, 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AE8" i="1"/>
  <c r="AH8" i="1"/>
  <c r="I3" i="1"/>
  <c r="P5" i="1"/>
  <c r="E8" i="1"/>
  <c r="E5" i="1" s="1"/>
  <c r="F8" i="1"/>
  <c r="F5" i="1" s="1"/>
  <c r="G8" i="1"/>
  <c r="G5" i="1" s="1"/>
  <c r="H8" i="1"/>
  <c r="H5" i="1" s="1"/>
  <c r="J8" i="1"/>
  <c r="J5" i="1" s="1"/>
  <c r="K8" i="1"/>
  <c r="K5" i="1" s="1"/>
  <c r="L8" i="1"/>
  <c r="L5" i="1" s="1"/>
  <c r="M8" i="1"/>
  <c r="M5" i="1" s="1"/>
  <c r="N8" i="1"/>
  <c r="N5" i="1" s="1"/>
  <c r="O8" i="1"/>
  <c r="O5" i="1" s="1"/>
  <c r="P8" i="1"/>
  <c r="Q8" i="1"/>
  <c r="Q5" i="1" s="1"/>
  <c r="R8" i="1"/>
  <c r="R5" i="1" s="1"/>
  <c r="S8" i="1"/>
  <c r="S5" i="1" s="1"/>
  <c r="T8" i="1"/>
  <c r="T5" i="1" s="1"/>
  <c r="U8" i="1"/>
  <c r="U5" i="1" s="1"/>
  <c r="V8" i="1"/>
  <c r="V5" i="1" s="1"/>
  <c r="W8" i="1"/>
  <c r="W5" i="1" s="1"/>
  <c r="X8" i="1"/>
  <c r="X5" i="1" s="1"/>
  <c r="Y8" i="1"/>
  <c r="Y5" i="1" s="1"/>
  <c r="Z8" i="1"/>
  <c r="Z5" i="1" s="1"/>
  <c r="AA8" i="1"/>
  <c r="AA5" i="1" s="1"/>
  <c r="AB8" i="1"/>
  <c r="AB5" i="1" s="1"/>
  <c r="AC8" i="1"/>
  <c r="AC5" i="1" s="1"/>
  <c r="AD8" i="1"/>
  <c r="AD5" i="1" s="1"/>
  <c r="AF8" i="1"/>
  <c r="AF5" i="1" s="1"/>
  <c r="AG8" i="1"/>
  <c r="AG5" i="1" s="1"/>
  <c r="I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tc={9B0D9017-E1A9-4090-B2DC-8A9A89630CA3}</author>
    <author>tc={F78F7CFD-E96D-4DC7-848B-09F2F8755AA0}</author>
  </authors>
  <commentList>
    <comment ref="I1" authorId="0" shapeId="0" xr:uid="{9B0D9017-E1A9-4090-B2DC-8A9A89630CA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Das ist da Verhältnis von Ca zu P</t>
      </text>
    </comment>
    <comment ref="AE1" authorId="1" shapeId="0" xr:uid="{F78F7CFD-E96D-4DC7-848B-09F2F8755AA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Für Vit C gibt es keinen Bedarf und keine Übergrenze</t>
      </text>
    </comment>
  </commentList>
</comments>
</file>

<file path=xl/sharedStrings.xml><?xml version="1.0" encoding="utf-8"?>
<sst xmlns="http://schemas.openxmlformats.org/spreadsheetml/2006/main" count="72" uniqueCount="48">
  <si>
    <t>Rp</t>
  </si>
  <si>
    <t>Rfe</t>
  </si>
  <si>
    <t>Ca</t>
  </si>
  <si>
    <t>P</t>
  </si>
  <si>
    <t>Mg</t>
  </si>
  <si>
    <t>K</t>
  </si>
  <si>
    <t>Na</t>
  </si>
  <si>
    <t>Cl</t>
  </si>
  <si>
    <t>Fe</t>
  </si>
  <si>
    <t>Cu</t>
  </si>
  <si>
    <t>Zn</t>
  </si>
  <si>
    <t>Mn</t>
  </si>
  <si>
    <t>Jod</t>
  </si>
  <si>
    <t>Selen</t>
  </si>
  <si>
    <t>Vit. A</t>
  </si>
  <si>
    <t>Vit. D3</t>
  </si>
  <si>
    <t>Vit. E</t>
  </si>
  <si>
    <t>Vit. B1</t>
  </si>
  <si>
    <t>Vit. B2</t>
  </si>
  <si>
    <t>Vit. B6</t>
  </si>
  <si>
    <t>Vit. B12</t>
  </si>
  <si>
    <t>Biotin</t>
  </si>
  <si>
    <t>Niacin</t>
  </si>
  <si>
    <t>Pantothensäure</t>
  </si>
  <si>
    <t>Folsäure</t>
  </si>
  <si>
    <t>Vit K</t>
  </si>
  <si>
    <t>Cholin</t>
  </si>
  <si>
    <t>Preis</t>
  </si>
  <si>
    <t>[g]</t>
  </si>
  <si>
    <t>[mg]</t>
  </si>
  <si>
    <t>[µg]</t>
  </si>
  <si>
    <t>[IE]</t>
  </si>
  <si>
    <t>Bedarfsdeck. [%]</t>
  </si>
  <si>
    <t>Summe</t>
  </si>
  <si>
    <t>Futtermittel</t>
  </si>
  <si>
    <t>[€/Tag]</t>
  </si>
  <si>
    <t>Katze</t>
  </si>
  <si>
    <t>Körpergewicht: 4 kg</t>
  </si>
  <si>
    <t>Ca:P</t>
  </si>
  <si>
    <t>Vit C</t>
  </si>
  <si>
    <t>Menge [in gram]</t>
  </si>
  <si>
    <t>Tagesbedarf (darf nicht runter)</t>
  </si>
  <si>
    <t>Maximaler Wert (sollte nicht überschriten werden)</t>
  </si>
  <si>
    <t>Schweinfleisch</t>
  </si>
  <si>
    <t>Hühnerfleisch</t>
  </si>
  <si>
    <t>Käse</t>
  </si>
  <si>
    <t>Verhältnis</t>
  </si>
  <si>
    <t>Here you can add supplements (EFMs) or Einzelfuttermittel aus der 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</si>
</sst>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0" fontId="1" fillId="0" borderId="0" xfId="0" applyFont="1"/>
    <xf numFmtId="164" fontId="1" fillId="0" borderId="1" xfId="0" applyNumberFormat="1" applyFont="1" applyBorder="1"/>
    <xf numFmtId="2" fontId="1" fillId="0" borderId="1" xfId="0" applyNumberFormat="1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" fontId="1" fillId="0" borderId="1" xfId="0" applyNumberFormat="1" applyFont="1" applyBorder="1"/>
    <xf numFmtId="0" fontId="2" fillId="0" borderId="0" xfId="0" applyFont="1"/>
    <xf numFmtId="1" fontId="2" fillId="0" borderId="1" xfId="0" applyNumberFormat="1" applyFont="1" applyBorder="1"/>
    <xf numFmtId="0" fontId="2" fillId="2" borderId="0" xfId="0" applyFont="1" applyFill="1"/>
    <xf numFmtId="164" fontId="1" fillId="0" borderId="0" xfId="0" applyNumberFormat="1" applyFont="1"/>
    <xf numFmtId="0" fontId="0" fillId="3" borderId="1" xfId="0" applyFill="1" applyBorder="1"/>
    <xf numFmtId="0" fontId="0" fillId="4" borderId="1" xfId="0" applyFill="1" applyBorder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Lehre\1%20Rationsprogramme\CarniDiet-Vetmed-Student-Release%205.1.xlsm" TargetMode="External"/><Relationship Id="rId1" Type="http://schemas.openxmlformats.org/officeDocument/2006/relationships/externalLinkPath" Target="file:///Z:\Lehre\1%20Rationsprogramme\CarniDiet-Vetmed-Student-Release%205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rechnung"/>
      <sheetName val="Sheet2"/>
      <sheetName val="Sheet1"/>
      <sheetName val="BCS"/>
      <sheetName val="Welpe"/>
      <sheetName val="Sport"/>
      <sheetName val="Druck"/>
      <sheetName val="Combobox-Quellen"/>
      <sheetName val="Bedarf"/>
      <sheetName val="Zusatzmodul Erkrankung"/>
      <sheetName val="HilfstabelleMinMax"/>
      <sheetName val="Futtermittel"/>
      <sheetName val="Sheet3"/>
      <sheetName val="Litera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F2" t="str">
            <v>Fleisch &amp; Fisch</v>
          </cell>
        </row>
        <row r="3">
          <cell r="AF3" t="str">
            <v>Innereien, TNPs, Schlachtabfälle &amp; Tiermehle</v>
          </cell>
        </row>
        <row r="4">
          <cell r="AF4" t="str">
            <v>Ei- &amp; Milchprodukte</v>
          </cell>
        </row>
        <row r="5">
          <cell r="AF5" t="str">
            <v>Getreide, Samen &amp; Kartoffeln</v>
          </cell>
        </row>
        <row r="6">
          <cell r="AF6" t="str">
            <v>Gemüse, Obst &amp; Strukturtoffe</v>
          </cell>
        </row>
        <row r="7">
          <cell r="AF7" t="str">
            <v>Fette &amp; Öle</v>
          </cell>
        </row>
        <row r="8">
          <cell r="AF8" t="str">
            <v>Mineralstoffe</v>
          </cell>
        </row>
        <row r="9">
          <cell r="AF9">
            <v>0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Zebeli Qendrim" id="{13EC8F05-20C6-4DD0-AB7D-6329069CC479}" userId="S::Qendrim.Zebeli@vetmeduni.ac.at::2da8c75b-bc31-4cb7-9948-e11ff1d6ebc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5-11-14T14:28:25.65" personId="{13EC8F05-20C6-4DD0-AB7D-6329069CC479}" id="{9B0D9017-E1A9-4090-B2DC-8A9A89630CA3}">
    <text>Das ist da Verhältnis von Ca zu P</text>
  </threadedComment>
  <threadedComment ref="AE1" dT="2025-11-14T14:35:58.38" personId="{13EC8F05-20C6-4DD0-AB7D-6329069CC479}" id="{F78F7CFD-E96D-4DC7-848B-09F2F8755AA0}">
    <text>Für Vit C gibt es keinen Bedarf und keine Übergrenze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4A5A-8F2D-4E96-A16B-8E73B0B87452}">
  <dimension ref="A1:AH19"/>
  <sheetViews>
    <sheetView tabSelected="1" topLeftCell="D1" workbookViewId="0">
      <selection activeCell="E5" sqref="E5"/>
    </sheetView>
  </sheetViews>
  <sheetFormatPr baseColWidth="10" defaultRowHeight="14.5" x14ac:dyDescent="0.35"/>
  <cols>
    <col min="3" max="3" width="32.453125" customWidth="1"/>
    <col min="4" max="4" width="50" customWidth="1"/>
    <col min="6" max="6" width="13.54296875" bestFit="1" customWidth="1"/>
  </cols>
  <sheetData>
    <row r="1" spans="1:34" x14ac:dyDescent="0.35">
      <c r="A1" t="s">
        <v>36</v>
      </c>
      <c r="E1" s="2" t="s">
        <v>0</v>
      </c>
      <c r="F1" s="2" t="s">
        <v>1</v>
      </c>
      <c r="G1" s="18" t="s">
        <v>2</v>
      </c>
      <c r="H1" s="18" t="s">
        <v>3</v>
      </c>
      <c r="I1" s="18" t="s">
        <v>38</v>
      </c>
      <c r="J1" s="18" t="s">
        <v>4</v>
      </c>
      <c r="K1" s="18" t="s">
        <v>5</v>
      </c>
      <c r="L1" s="18" t="s">
        <v>6</v>
      </c>
      <c r="M1" s="18" t="s">
        <v>7</v>
      </c>
      <c r="N1" s="18" t="s">
        <v>8</v>
      </c>
      <c r="O1" s="18" t="s">
        <v>9</v>
      </c>
      <c r="P1" s="18" t="s">
        <v>10</v>
      </c>
      <c r="Q1" s="18" t="s">
        <v>11</v>
      </c>
      <c r="R1" s="18" t="s">
        <v>12</v>
      </c>
      <c r="S1" s="18" t="s">
        <v>13</v>
      </c>
      <c r="T1" s="19" t="s">
        <v>14</v>
      </c>
      <c r="U1" s="19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21</v>
      </c>
      <c r="AB1" s="19" t="s">
        <v>22</v>
      </c>
      <c r="AC1" s="19" t="s">
        <v>23</v>
      </c>
      <c r="AD1" s="19" t="s">
        <v>24</v>
      </c>
      <c r="AE1" s="19" t="s">
        <v>39</v>
      </c>
      <c r="AF1" s="19" t="s">
        <v>25</v>
      </c>
      <c r="AG1" s="19" t="s">
        <v>26</v>
      </c>
      <c r="AH1" t="s">
        <v>27</v>
      </c>
    </row>
    <row r="2" spans="1:34" x14ac:dyDescent="0.35">
      <c r="A2" t="s">
        <v>37</v>
      </c>
      <c r="E2" s="2" t="s">
        <v>28</v>
      </c>
      <c r="F2" s="2" t="s">
        <v>28</v>
      </c>
      <c r="G2" s="2" t="s">
        <v>29</v>
      </c>
      <c r="H2" s="2" t="s">
        <v>29</v>
      </c>
      <c r="I2" s="2" t="s">
        <v>46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30</v>
      </c>
      <c r="S2" s="2" t="s">
        <v>30</v>
      </c>
      <c r="T2" s="2" t="s">
        <v>31</v>
      </c>
      <c r="U2" s="2" t="s">
        <v>30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30</v>
      </c>
      <c r="AA2" s="2" t="s">
        <v>30</v>
      </c>
      <c r="AB2" s="2" t="s">
        <v>29</v>
      </c>
      <c r="AC2" s="2" t="s">
        <v>29</v>
      </c>
      <c r="AD2" s="2" t="s">
        <v>30</v>
      </c>
      <c r="AE2" s="2" t="s">
        <v>29</v>
      </c>
      <c r="AF2" s="2" t="s">
        <v>29</v>
      </c>
      <c r="AG2" s="2" t="s">
        <v>29</v>
      </c>
      <c r="AH2" t="s">
        <v>35</v>
      </c>
    </row>
    <row r="3" spans="1:34" s="6" customFormat="1" x14ac:dyDescent="0.35">
      <c r="D3" s="6" t="s">
        <v>41</v>
      </c>
      <c r="E3" s="7">
        <v>12.556305412185177</v>
      </c>
      <c r="F3" s="8">
        <v>5.5693290134692326</v>
      </c>
      <c r="G3" s="7">
        <v>180</v>
      </c>
      <c r="H3" s="7">
        <v>160</v>
      </c>
      <c r="I3" s="8">
        <f>G3/H3</f>
        <v>1.125</v>
      </c>
      <c r="J3" s="7">
        <v>24.049375285435318</v>
      </c>
      <c r="K3" s="13">
        <v>330</v>
      </c>
      <c r="L3" s="7">
        <v>42.276270238607346</v>
      </c>
      <c r="M3" s="7">
        <v>59.996862554191267</v>
      </c>
      <c r="N3" s="8">
        <v>5.0123961121223086</v>
      </c>
      <c r="O3" s="8">
        <v>0.3012500693649266</v>
      </c>
      <c r="P3" s="8">
        <v>4.8098750570870639</v>
      </c>
      <c r="Q3" s="8">
        <v>0.3012500693649266</v>
      </c>
      <c r="R3" s="8">
        <v>88.602961577919601</v>
      </c>
      <c r="S3" s="8">
        <v>17.594016656186891</v>
      </c>
      <c r="T3" s="8">
        <v>208.40707634852541</v>
      </c>
      <c r="U3" s="8">
        <v>0.43035724194989522</v>
      </c>
      <c r="V3" s="8">
        <v>2.3796223966641263</v>
      </c>
      <c r="W3" s="8">
        <v>0.35441184631167844</v>
      </c>
      <c r="X3" s="8">
        <v>0.25061980560611546</v>
      </c>
      <c r="Y3" s="8">
        <v>0.1518907912764336</v>
      </c>
      <c r="Z3" s="8">
        <v>1.4176473852467137</v>
      </c>
      <c r="AA3" s="8">
        <v>4.8098750570870639</v>
      </c>
      <c r="AB3" s="8">
        <v>2.5061980560611543</v>
      </c>
      <c r="AC3" s="8">
        <v>0.35441184631167844</v>
      </c>
      <c r="AD3" s="8">
        <v>48.098750570870635</v>
      </c>
      <c r="AE3" s="8"/>
      <c r="AF3" s="8">
        <v>6.3287829698514E-2</v>
      </c>
      <c r="AG3" s="8">
        <v>159.48533084025527</v>
      </c>
    </row>
    <row r="4" spans="1:34" x14ac:dyDescent="0.35">
      <c r="D4" t="s">
        <v>42</v>
      </c>
      <c r="E4" s="5">
        <v>52</v>
      </c>
      <c r="F4" s="5">
        <v>16.707987040407698</v>
      </c>
      <c r="G4" s="5">
        <v>600</v>
      </c>
      <c r="H4" s="5">
        <v>500</v>
      </c>
      <c r="I4" s="3">
        <v>2</v>
      </c>
      <c r="J4" s="5">
        <v>72.148125856305953</v>
      </c>
      <c r="K4" s="5">
        <v>12000</v>
      </c>
      <c r="L4" s="5">
        <v>100</v>
      </c>
      <c r="M4" s="5">
        <v>179.9905876625738</v>
      </c>
      <c r="N4" s="5">
        <v>15.037188336366926</v>
      </c>
      <c r="O4" s="3">
        <v>0.90375020809477979</v>
      </c>
      <c r="P4" s="5">
        <v>14.429625171261192</v>
      </c>
      <c r="Q4" s="3">
        <v>0.90375020809477979</v>
      </c>
      <c r="R4" s="5">
        <v>265.80888473375882</v>
      </c>
      <c r="S4" s="5">
        <v>52.782049968560671</v>
      </c>
      <c r="T4" s="5">
        <v>1042.0353817426271</v>
      </c>
      <c r="U4" s="4">
        <v>2.151786209749476</v>
      </c>
      <c r="V4" s="4">
        <v>11.898111983320632</v>
      </c>
      <c r="W4" s="4">
        <v>1.7720592315583921</v>
      </c>
      <c r="X4" s="4">
        <v>1.2530990280305774</v>
      </c>
      <c r="Y4" s="4">
        <v>0.75945395638216795</v>
      </c>
      <c r="Z4" s="4">
        <v>7.0882369262335683</v>
      </c>
      <c r="AA4" s="4">
        <v>24.049375285435318</v>
      </c>
      <c r="AB4" s="4">
        <v>12.530990280305772</v>
      </c>
      <c r="AC4" s="4">
        <v>1.7720592315583921</v>
      </c>
      <c r="AD4" s="4">
        <v>240.49375285435318</v>
      </c>
      <c r="AE4" s="4"/>
      <c r="AF4" s="4">
        <v>0.31643914849256999</v>
      </c>
      <c r="AG4" s="4">
        <v>797.42665420127639</v>
      </c>
    </row>
    <row r="5" spans="1:34" s="14" customFormat="1" x14ac:dyDescent="0.35">
      <c r="D5" s="14" t="s">
        <v>32</v>
      </c>
      <c r="E5" s="15">
        <f>E8/E3*100</f>
        <v>138.09794705353789</v>
      </c>
      <c r="F5" s="15">
        <f>F8/F3*100</f>
        <v>143.64387488425038</v>
      </c>
      <c r="G5" s="15">
        <f t="shared" ref="G5:S5" si="0">G8/G3*100</f>
        <v>74.7</v>
      </c>
      <c r="H5" s="15">
        <f t="shared" si="0"/>
        <v>120.5625</v>
      </c>
      <c r="I5" s="15">
        <f t="shared" si="0"/>
        <v>61.959564541213076</v>
      </c>
      <c r="J5" s="15">
        <f t="shared" si="0"/>
        <v>89.06676263217652</v>
      </c>
      <c r="K5" s="15">
        <f t="shared" si="0"/>
        <v>81.060606060606062</v>
      </c>
      <c r="L5" s="15">
        <f t="shared" si="0"/>
        <v>186.15644084924489</v>
      </c>
      <c r="M5" s="15">
        <f t="shared" si="0"/>
        <v>188.34318194211312</v>
      </c>
      <c r="N5" s="15">
        <f t="shared" si="0"/>
        <v>97.358626310436378</v>
      </c>
      <c r="O5" s="15">
        <f t="shared" si="0"/>
        <v>17.460576892442706</v>
      </c>
      <c r="P5" s="15">
        <f t="shared" si="0"/>
        <v>41.830608407081968</v>
      </c>
      <c r="Q5" s="15">
        <f t="shared" si="0"/>
        <v>19.452277678652901</v>
      </c>
      <c r="R5" s="15">
        <f t="shared" si="0"/>
        <v>4.2887956929726192</v>
      </c>
      <c r="S5" s="15">
        <f t="shared" si="0"/>
        <v>30.237552367720621</v>
      </c>
      <c r="T5" s="15">
        <f t="shared" ref="T5" si="1">T8/T3*100</f>
        <v>75.04543643155742</v>
      </c>
      <c r="U5" s="15">
        <f t="shared" ref="U5" si="2">U8/U3*100</f>
        <v>30.672192107636992</v>
      </c>
      <c r="V5" s="15">
        <f t="shared" ref="V5" si="3">V8/V3*100</f>
        <v>26.205838408404357</v>
      </c>
      <c r="W5" s="15">
        <f t="shared" ref="W5" si="4">W8/W3*100</f>
        <v>155.66635419822325</v>
      </c>
      <c r="X5" s="15">
        <f t="shared" ref="X5" si="5">X8/X3*100</f>
        <v>77.36818705571153</v>
      </c>
      <c r="Y5" s="15">
        <f t="shared" ref="Y5" si="6">Y8/Y3*100</f>
        <v>227.00520360874367</v>
      </c>
      <c r="Z5" s="15">
        <f t="shared" ref="Z5" si="7">Z8/Z3*100</f>
        <v>76.464712683919714</v>
      </c>
      <c r="AA5" s="15">
        <f t="shared" ref="AA5" si="8">AA8/AA3*100</f>
        <v>74.014396585095326</v>
      </c>
      <c r="AB5" s="15">
        <f t="shared" ref="AB5" si="9">AB8/AB3*100</f>
        <v>158.0721040948462</v>
      </c>
      <c r="AC5" s="15">
        <f>AC8/AC3*100</f>
        <v>188.4812844016914</v>
      </c>
      <c r="AD5" s="15">
        <f>AD8/AD3*100</f>
        <v>0</v>
      </c>
      <c r="AE5" s="15"/>
      <c r="AF5" s="15">
        <f t="shared" ref="AF5" si="10">AF8/AF3*100</f>
        <v>13.272694039304739</v>
      </c>
      <c r="AG5" s="15">
        <f t="shared" ref="AG5" si="11">AG8/AG3*100</f>
        <v>49.158126071499026</v>
      </c>
    </row>
    <row r="8" spans="1:34" s="6" customFormat="1" x14ac:dyDescent="0.35">
      <c r="D8" s="11" t="s">
        <v>33</v>
      </c>
      <c r="E8" s="17">
        <f t="shared" ref="E8:AG8" si="12">SUM(E10:E18)</f>
        <v>17.34</v>
      </c>
      <c r="F8" s="6">
        <f t="shared" si="12"/>
        <v>8</v>
      </c>
      <c r="G8" s="6">
        <f t="shared" si="12"/>
        <v>134.46</v>
      </c>
      <c r="H8" s="6">
        <f t="shared" si="12"/>
        <v>192.9</v>
      </c>
      <c r="I8" s="12">
        <f>G8/H8</f>
        <v>0.69704510108864703</v>
      </c>
      <c r="J8" s="6">
        <f t="shared" si="12"/>
        <v>21.419999999999998</v>
      </c>
      <c r="K8" s="6">
        <f t="shared" si="12"/>
        <v>267.5</v>
      </c>
      <c r="L8" s="6">
        <f t="shared" si="12"/>
        <v>78.7</v>
      </c>
      <c r="M8" s="6">
        <f t="shared" si="12"/>
        <v>113</v>
      </c>
      <c r="N8" s="6">
        <f t="shared" si="12"/>
        <v>4.88</v>
      </c>
      <c r="O8" s="6">
        <f t="shared" si="12"/>
        <v>5.2599999999999994E-2</v>
      </c>
      <c r="P8" s="6">
        <f t="shared" si="12"/>
        <v>2.012</v>
      </c>
      <c r="Q8" s="6">
        <f t="shared" si="12"/>
        <v>5.8599999999999999E-2</v>
      </c>
      <c r="R8" s="6">
        <f t="shared" si="12"/>
        <v>3.8000000000000003</v>
      </c>
      <c r="S8" s="6">
        <f t="shared" si="12"/>
        <v>5.32</v>
      </c>
      <c r="T8" s="6">
        <f t="shared" si="12"/>
        <v>156.39999999999998</v>
      </c>
      <c r="U8" s="6">
        <f t="shared" si="12"/>
        <v>0.13200000000000001</v>
      </c>
      <c r="V8" s="6">
        <f t="shared" si="12"/>
        <v>0.62359999999999993</v>
      </c>
      <c r="W8" s="6">
        <f t="shared" si="12"/>
        <v>0.55169999999999997</v>
      </c>
      <c r="X8" s="6">
        <f t="shared" si="12"/>
        <v>0.19390000000000002</v>
      </c>
      <c r="Y8" s="6">
        <f t="shared" si="12"/>
        <v>0.3448</v>
      </c>
      <c r="Z8" s="6">
        <f t="shared" si="12"/>
        <v>1.0840000000000001</v>
      </c>
      <c r="AA8" s="6">
        <f t="shared" si="12"/>
        <v>3.56</v>
      </c>
      <c r="AB8" s="6">
        <f t="shared" si="12"/>
        <v>3.9615999999999998</v>
      </c>
      <c r="AC8" s="6">
        <f t="shared" si="12"/>
        <v>0.66800000000000004</v>
      </c>
      <c r="AD8" s="6">
        <f t="shared" si="12"/>
        <v>0</v>
      </c>
      <c r="AE8" s="6">
        <f t="shared" si="12"/>
        <v>0</v>
      </c>
      <c r="AF8" s="6">
        <f t="shared" si="12"/>
        <v>8.4000000000000012E-3</v>
      </c>
      <c r="AG8" s="6">
        <f t="shared" si="12"/>
        <v>78.400000000000006</v>
      </c>
      <c r="AH8" s="12">
        <f>SUM(AH10:AH18)</f>
        <v>1.16784</v>
      </c>
    </row>
    <row r="9" spans="1:34" x14ac:dyDescent="0.35">
      <c r="C9" s="6" t="s">
        <v>34</v>
      </c>
      <c r="D9" s="9" t="s">
        <v>40</v>
      </c>
      <c r="AH9" s="1"/>
    </row>
    <row r="10" spans="1:34" x14ac:dyDescent="0.35">
      <c r="C10" s="2" t="s">
        <v>43</v>
      </c>
      <c r="D10" s="10">
        <v>30</v>
      </c>
      <c r="E10" s="5">
        <v>3.5999999999999996</v>
      </c>
      <c r="F10" s="2">
        <v>3</v>
      </c>
      <c r="G10" s="2">
        <v>0.96</v>
      </c>
      <c r="H10" s="2">
        <v>16.5</v>
      </c>
      <c r="I10" s="2"/>
      <c r="J10" s="2">
        <v>4.2</v>
      </c>
      <c r="K10" s="2">
        <v>47.1</v>
      </c>
      <c r="L10" s="2">
        <v>17.7</v>
      </c>
      <c r="M10" s="2">
        <v>18</v>
      </c>
      <c r="N10" s="2">
        <v>0.18</v>
      </c>
      <c r="O10" s="2">
        <v>1.3199999999999998E-2</v>
      </c>
      <c r="P10" s="2">
        <v>0.51</v>
      </c>
      <c r="Q10" s="2">
        <v>1.4999999999999999E-2</v>
      </c>
      <c r="R10" s="2">
        <v>1.2</v>
      </c>
      <c r="S10" s="2">
        <v>1.5</v>
      </c>
      <c r="T10" s="2">
        <v>15</v>
      </c>
      <c r="U10" s="2"/>
      <c r="V10" s="2">
        <v>0.21</v>
      </c>
      <c r="W10" s="2">
        <v>9.5699999999999993E-2</v>
      </c>
      <c r="X10" s="2">
        <v>4.65E-2</v>
      </c>
      <c r="Y10" s="2">
        <v>8.4000000000000005E-2</v>
      </c>
      <c r="Z10" s="2">
        <v>0.26700000000000002</v>
      </c>
      <c r="AA10" s="2">
        <v>1.2</v>
      </c>
      <c r="AB10" s="2">
        <v>1.44</v>
      </c>
      <c r="AC10" s="2">
        <v>0.27</v>
      </c>
      <c r="AD10" s="2"/>
      <c r="AE10" s="2"/>
      <c r="AF10" s="2"/>
      <c r="AG10" s="2">
        <v>29.4</v>
      </c>
      <c r="AH10" s="4">
        <v>0.29969999999999997</v>
      </c>
    </row>
    <row r="11" spans="1:34" x14ac:dyDescent="0.35">
      <c r="C11" s="2" t="s">
        <v>44</v>
      </c>
      <c r="D11" s="10">
        <v>50</v>
      </c>
      <c r="E11" s="5">
        <v>10.5</v>
      </c>
      <c r="F11" s="2">
        <v>2</v>
      </c>
      <c r="G11" s="2">
        <v>1.5</v>
      </c>
      <c r="H11" s="2">
        <v>102</v>
      </c>
      <c r="I11" s="2"/>
      <c r="J11" s="2">
        <v>13.5</v>
      </c>
      <c r="K11" s="2">
        <v>209</v>
      </c>
      <c r="L11" s="2">
        <v>28</v>
      </c>
      <c r="M11" s="2">
        <v>40</v>
      </c>
      <c r="N11" s="2">
        <v>0.5</v>
      </c>
      <c r="O11" s="2">
        <v>2.5000000000000001E-2</v>
      </c>
      <c r="P11" s="2">
        <v>0.95</v>
      </c>
      <c r="Q11" s="2">
        <v>0.04</v>
      </c>
      <c r="R11" s="2">
        <v>2</v>
      </c>
      <c r="S11" s="2">
        <v>2.5</v>
      </c>
      <c r="T11" s="2">
        <v>25</v>
      </c>
      <c r="U11" s="2"/>
      <c r="V11" s="2">
        <v>0.35</v>
      </c>
      <c r="W11" s="2">
        <v>0.45</v>
      </c>
      <c r="X11" s="2">
        <v>0.115</v>
      </c>
      <c r="Y11" s="2">
        <v>0.25</v>
      </c>
      <c r="Z11" s="2">
        <v>0.44500000000000001</v>
      </c>
      <c r="AA11" s="2">
        <v>2</v>
      </c>
      <c r="AB11" s="2">
        <v>2.5</v>
      </c>
      <c r="AC11" s="2">
        <v>0.35</v>
      </c>
      <c r="AD11" s="2"/>
      <c r="AE11" s="2"/>
      <c r="AF11" s="2"/>
      <c r="AG11" s="2">
        <v>49</v>
      </c>
      <c r="AH11" s="4">
        <v>0.74850000000000005</v>
      </c>
    </row>
    <row r="12" spans="1:34" x14ac:dyDescent="0.35">
      <c r="C12" s="2" t="s">
        <v>45</v>
      </c>
      <c r="D12" s="10">
        <v>12</v>
      </c>
      <c r="E12" s="5">
        <v>3.2399999999999998</v>
      </c>
      <c r="F12" s="2">
        <v>3</v>
      </c>
      <c r="G12" s="2">
        <v>132</v>
      </c>
      <c r="H12" s="2">
        <v>74.400000000000006</v>
      </c>
      <c r="I12" s="2"/>
      <c r="J12" s="2">
        <v>3.7199999999999998</v>
      </c>
      <c r="K12" s="2">
        <v>11.4</v>
      </c>
      <c r="L12" s="2">
        <v>33</v>
      </c>
      <c r="M12" s="2">
        <v>55</v>
      </c>
      <c r="N12" s="2">
        <v>4.2</v>
      </c>
      <c r="O12" s="2">
        <v>1.44E-2</v>
      </c>
      <c r="P12" s="2">
        <v>0.55199999999999994</v>
      </c>
      <c r="Q12" s="2">
        <v>3.5999999999999999E-3</v>
      </c>
      <c r="R12" s="2">
        <v>0.6</v>
      </c>
      <c r="S12" s="2">
        <v>1.3199999999999998</v>
      </c>
      <c r="T12" s="2">
        <v>116.39999999999999</v>
      </c>
      <c r="U12" s="2">
        <v>0.13200000000000001</v>
      </c>
      <c r="V12" s="2">
        <v>6.3600000000000004E-2</v>
      </c>
      <c r="W12" s="2">
        <v>6.0000000000000001E-3</v>
      </c>
      <c r="X12" s="2">
        <v>3.2399999999999998E-2</v>
      </c>
      <c r="Y12" s="2">
        <v>1.0799999999999999E-2</v>
      </c>
      <c r="Z12" s="2">
        <v>0.372</v>
      </c>
      <c r="AA12" s="2">
        <v>0.36</v>
      </c>
      <c r="AB12" s="2">
        <v>2.1599999999999998E-2</v>
      </c>
      <c r="AC12" s="2">
        <v>4.8000000000000001E-2</v>
      </c>
      <c r="AD12" s="2"/>
      <c r="AE12" s="2"/>
      <c r="AF12" s="2">
        <v>8.4000000000000012E-3</v>
      </c>
      <c r="AG12" s="2"/>
      <c r="AH12" s="4">
        <v>0.11964000000000001</v>
      </c>
    </row>
    <row r="13" spans="1:34" x14ac:dyDescent="0.35">
      <c r="C13" s="16" t="s">
        <v>47</v>
      </c>
    </row>
    <row r="14" spans="1:34" x14ac:dyDescent="0.35">
      <c r="C14" s="16"/>
    </row>
    <row r="15" spans="1:34" x14ac:dyDescent="0.35">
      <c r="C15" s="16"/>
    </row>
    <row r="16" spans="1:34" x14ac:dyDescent="0.35">
      <c r="C16" s="16"/>
    </row>
    <row r="17" spans="3:3" x14ac:dyDescent="0.35">
      <c r="C17" s="16"/>
    </row>
    <row r="18" spans="3:3" x14ac:dyDescent="0.35">
      <c r="C18" s="16"/>
    </row>
    <row r="19" spans="3:3" x14ac:dyDescent="0.35">
      <c r="C19" s="16"/>
    </row>
  </sheetData>
  <conditionalFormatting sqref="E5:AG5">
    <cfRule type="cellIs" dxfId="0" priority="1" operator="lessThan">
      <formula>100</formula>
    </cfRule>
  </conditionalFormatting>
  <pageMargins left="0.7" right="0.7" top="0.78740157499999996" bottom="0.78740157499999996" header="0.3" footer="0.3"/>
  <ignoredErrors>
    <ignoredError sqref="I8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Veterinaermedizinische Universitaet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Zebeli Qendrim</dc:creator>
  <cp:lastModifiedBy>Alicka, Ewald</cp:lastModifiedBy>
  <dcterms:created xsi:type="dcterms:W3CDTF">2025-11-14T13:55:50Z</dcterms:created>
  <dcterms:modified xsi:type="dcterms:W3CDTF">2025-11-21T20:12:21Z</dcterms:modified>
</cp:coreProperties>
</file>